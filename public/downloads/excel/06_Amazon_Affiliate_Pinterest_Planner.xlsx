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9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991B1B"/>
      <sz val="16"/>
    </font>
    <font>
      <name val="Segoe UI"/>
      <b val="1"/>
      <color rgb="00065F46"/>
      <sz val="16"/>
    </font>
    <font>
      <name val="Segoe UI"/>
      <b val="1"/>
      <color rgb="001D4ED8"/>
      <sz val="16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color rgb="001E293B"/>
      <sz val="10"/>
    </font>
    <font>
      <name val="Segoe UI"/>
      <b val="1"/>
      <color rgb="00065F46"/>
      <sz val="10"/>
    </font>
    <font>
      <name val="Segoe UI"/>
      <b val="1"/>
      <color rgb="00059669"/>
      <sz val="10"/>
    </font>
    <font>
      <name val="Segoe UI"/>
      <b val="1"/>
      <color rgb="001D4ED8"/>
      <sz val="10"/>
    </font>
    <font>
      <name val="Segoe UI"/>
      <i val="1"/>
      <color rgb="0064748B"/>
      <sz val="9"/>
    </font>
  </fonts>
  <fills count="11">
    <fill>
      <patternFill/>
    </fill>
    <fill>
      <patternFill patternType="gray125"/>
    </fill>
    <fill>
      <patternFill patternType="solid">
        <fgColor rgb="00991B1B"/>
        <bgColor rgb="00991B1B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center" vertical="center"/>
    </xf>
    <xf numFmtId="3" fontId="11" fillId="9" borderId="2" applyAlignment="1" pivotButton="0" quotePrefix="0" xfId="0">
      <alignment horizontal="right" vertical="center"/>
    </xf>
    <xf numFmtId="3" fontId="13" fillId="9" borderId="2" applyAlignment="1" pivotButton="0" quotePrefix="0" xfId="0">
      <alignment horizontal="right" vertical="center"/>
    </xf>
    <xf numFmtId="164" fontId="11" fillId="9" borderId="2" applyAlignment="1" pivotButton="0" quotePrefix="0" xfId="0">
      <alignment horizontal="right" vertical="center"/>
    </xf>
    <xf numFmtId="0" fontId="11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  <xf numFmtId="3" fontId="11" fillId="10" borderId="2" applyAlignment="1" pivotButton="0" quotePrefix="0" xfId="0">
      <alignment horizontal="right" vertical="center"/>
    </xf>
    <xf numFmtId="3" fontId="13" fillId="10" borderId="2" applyAlignment="1" pivotButton="0" quotePrefix="0" xfId="0">
      <alignment horizontal="right" vertical="center"/>
    </xf>
    <xf numFmtId="164" fontId="11" fillId="10" borderId="2" applyAlignment="1" pivotButton="0" quotePrefix="0" xfId="0">
      <alignment horizontal="right" vertical="center"/>
    </xf>
    <xf numFmtId="0" fontId="14" fillId="6" borderId="2" applyAlignment="1" pivotButton="0" quotePrefix="0" xfId="0">
      <alignment horizontal="center" vertical="center"/>
    </xf>
    <xf numFmtId="0" fontId="3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0023"/>
    <outlinePr summaryBelow="1" summaryRight="1"/>
    <pageSetUpPr/>
  </sheetPr>
  <dimension ref="A1:K22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40" customWidth="1" min="2" max="2"/>
    <col width="20" customWidth="1" min="3" max="3"/>
    <col width="19" customWidth="1" min="4" max="4"/>
    <col width="77" customWidth="1" min="5" max="5"/>
    <col width="19" customWidth="1" min="6" max="6"/>
    <col width="24" customWidth="1" min="7" max="7"/>
    <col width="15" customWidth="1" min="8" max="8"/>
    <col width="19" customWidth="1" min="9" max="9"/>
    <col width="13" customWidth="1" min="10" max="10"/>
    <col width="13" customWidth="1" min="11" max="11"/>
  </cols>
  <sheetData>
    <row r="1" ht="36" customHeight="1">
      <c r="A1" s="1" t="inlineStr">
        <is>
          <t>AMAZON AFFILIATE &amp; PINTEREST CONTENT CALENDAR &amp; PIN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3" t="inlineStr">
        <is>
          <t>Channel: Budget Tech &amp; Home Finds (@cozynook_finds) | Real-world 24.3K monthly view affiliate visual SEO pipeline.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/>
    <row r="4" ht="18" customHeight="1">
      <c r="A4" s="5" t="inlineStr">
        <is>
          <t>PINS TRACKED</t>
        </is>
      </c>
      <c r="B4" s="6" t="n"/>
      <c r="C4" s="7" t="inlineStr">
        <is>
          <t>MONTHLY ORGANIC REACH</t>
        </is>
      </c>
      <c r="D4" s="8" t="n"/>
      <c r="E4" s="8" t="n"/>
      <c r="F4" s="9" t="inlineStr">
        <is>
          <t>TOTAL OUTBOUND CLICKS</t>
        </is>
      </c>
      <c r="G4" s="10" t="n"/>
      <c r="H4" s="10" t="n"/>
      <c r="I4" s="11" t="inlineStr">
        <is>
          <t>AVG CLICK-THROUGH (CTR)</t>
        </is>
      </c>
      <c r="J4" s="12" t="n"/>
      <c r="K4" s="12" t="n"/>
    </row>
    <row r="5" ht="28" customHeight="1">
      <c r="A5" s="13">
        <f>COUNTA(A11:A20)</f>
        <v/>
      </c>
      <c r="B5" s="6" t="n"/>
      <c r="C5" s="14" t="inlineStr">
        <is>
          <t>24,300+ Views</t>
        </is>
      </c>
      <c r="D5" s="8" t="n"/>
      <c r="E5" s="8" t="n"/>
      <c r="F5" s="15">
        <f>SUM(I11:I20)</f>
        <v/>
      </c>
      <c r="G5" s="10" t="n"/>
      <c r="H5" s="10" t="n"/>
      <c r="I5" s="16">
        <f>AVERAGE(J11:J20)</f>
        <v/>
      </c>
      <c r="J5" s="12" t="n"/>
      <c r="K5" s="12" t="n"/>
    </row>
    <row r="6" ht="16" customHeight="1">
      <c r="A6" s="17" t="inlineStr">
        <is>
          <t>Published Pin Campaigns</t>
        </is>
      </c>
      <c r="B6" s="6" t="n"/>
      <c r="C6" s="18" t="inlineStr">
        <is>
          <t>Verified Active Profile Stats</t>
        </is>
      </c>
      <c r="D6" s="8" t="n"/>
      <c r="E6" s="8" t="n"/>
      <c r="F6" s="19" t="inlineStr">
        <is>
          <t>High-Intent Traffic to Amazon</t>
        </is>
      </c>
      <c r="G6" s="10" t="n"/>
      <c r="H6" s="10" t="n"/>
      <c r="I6" s="20" t="inlineStr">
        <is>
          <t>Outbound Conversion Efficiency</t>
        </is>
      </c>
      <c r="J6" s="12" t="n"/>
      <c r="K6" s="12" t="n"/>
    </row>
    <row r="7"/>
    <row r="8"/>
    <row r="9" ht="22" customHeight="1">
      <c r="A9" s="21" t="inlineStr">
        <is>
          <t>ACTIVE PINTEREST CAMPAIGNS, VISUAL SEO KEYWORDS &amp; AFFILIATE OUTBOUND METRICS</t>
        </is>
      </c>
    </row>
    <row r="10" ht="26" customHeight="1">
      <c r="A10" s="22" t="inlineStr">
        <is>
          <t>Pin ID</t>
        </is>
      </c>
      <c r="B10" s="22" t="inlineStr">
        <is>
          <t>Product / Pin Headline</t>
        </is>
      </c>
      <c r="C10" s="22" t="inlineStr">
        <is>
          <t>Niche Category</t>
        </is>
      </c>
      <c r="D10" s="22" t="inlineStr">
        <is>
          <t>Amazon ASIN Ref</t>
        </is>
      </c>
      <c r="E10" s="22" t="inlineStr">
        <is>
          <t>Target Search Keywords (Visual SEO)</t>
        </is>
      </c>
      <c r="F10" s="22" t="inlineStr">
        <is>
          <t>Pin Ratio</t>
        </is>
      </c>
      <c r="G10" s="22" t="inlineStr">
        <is>
          <t>Affiliate Disclosure</t>
        </is>
      </c>
      <c r="H10" s="22" t="inlineStr">
        <is>
          <t>Impressions</t>
        </is>
      </c>
      <c r="I10" s="22" t="inlineStr">
        <is>
          <t>Outbound Clicks</t>
        </is>
      </c>
      <c r="J10" s="22" t="inlineStr">
        <is>
          <t>CTR %</t>
        </is>
      </c>
      <c r="K10" s="22" t="inlineStr">
        <is>
          <t>Status</t>
        </is>
      </c>
    </row>
    <row r="11" ht="22" customHeight="1">
      <c r="A11" s="23" t="inlineStr">
        <is>
          <t>PIN-101</t>
        </is>
      </c>
      <c r="B11" s="24" t="inlineStr">
        <is>
          <t>Halloween Caution Tape 3-Pack</t>
        </is>
      </c>
      <c r="C11" s="23" t="inlineStr">
        <is>
          <t>Seasonal Decor</t>
        </is>
      </c>
      <c r="D11" s="23" t="inlineStr">
        <is>
          <t>B0B1X2Y3Z4</t>
        </is>
      </c>
      <c r="E11" s="24" t="inlineStr">
        <is>
          <t>halloween caution tape, outdoor scary party decor, haunted house entrance</t>
        </is>
      </c>
      <c r="F11" s="23" t="inlineStr">
        <is>
          <t>2:3 (1000x1500)</t>
        </is>
      </c>
      <c r="G11" s="25" t="inlineStr">
        <is>
          <t>Yes (Compliant)</t>
        </is>
      </c>
      <c r="H11" s="26" t="n">
        <v>3420</v>
      </c>
      <c r="I11" s="27" t="n">
        <v>18</v>
      </c>
      <c r="J11" s="28">
        <f>I11/H11</f>
        <v/>
      </c>
      <c r="K11" s="25" t="inlineStr">
        <is>
          <t>Published</t>
        </is>
      </c>
    </row>
    <row r="12" ht="22" customHeight="1">
      <c r="A12" s="29" t="inlineStr">
        <is>
          <t>PIN-102</t>
        </is>
      </c>
      <c r="B12" s="30" t="inlineStr">
        <is>
          <t>5FT Hanging Swinging Ghost with LED</t>
        </is>
      </c>
      <c r="C12" s="29" t="inlineStr">
        <is>
          <t>Outdoor Props</t>
        </is>
      </c>
      <c r="D12" s="29" t="inlineStr">
        <is>
          <t>B0B2Y3Z4A5</t>
        </is>
      </c>
      <c r="E12" s="30" t="inlineStr">
        <is>
          <t>hanging swinging ghost, led spooky prop, lawn yard tree decor</t>
        </is>
      </c>
      <c r="F12" s="29" t="inlineStr">
        <is>
          <t>2:3 (1000x1500)</t>
        </is>
      </c>
      <c r="G12" s="25" t="inlineStr">
        <is>
          <t>Yes (Compliant)</t>
        </is>
      </c>
      <c r="H12" s="31" t="n">
        <v>4180</v>
      </c>
      <c r="I12" s="32" t="n">
        <v>24</v>
      </c>
      <c r="J12" s="33">
        <f>I12/H12</f>
        <v/>
      </c>
      <c r="K12" s="25" t="inlineStr">
        <is>
          <t>Published</t>
        </is>
      </c>
    </row>
    <row r="13" ht="22" customHeight="1">
      <c r="A13" s="23" t="inlineStr">
        <is>
          <t>PIN-103</t>
        </is>
      </c>
      <c r="B13" s="24" t="inlineStr">
        <is>
          <t>Funny Ghost Figurine (Desk Decor)</t>
        </is>
      </c>
      <c r="C13" s="23" t="inlineStr">
        <is>
          <t>Home Office</t>
        </is>
      </c>
      <c r="D13" s="23" t="inlineStr">
        <is>
          <t>B0B3Z4A5B6</t>
        </is>
      </c>
      <c r="E13" s="24" t="inlineStr">
        <is>
          <t>funny ghost figurine, aesthetic desk decor, small ghost big vibes</t>
        </is>
      </c>
      <c r="F13" s="23" t="inlineStr">
        <is>
          <t>2:3 (1000x1500)</t>
        </is>
      </c>
      <c r="G13" s="25" t="inlineStr">
        <is>
          <t>Yes (Compliant)</t>
        </is>
      </c>
      <c r="H13" s="26" t="n">
        <v>2950</v>
      </c>
      <c r="I13" s="27" t="n">
        <v>14</v>
      </c>
      <c r="J13" s="28">
        <f>I13/H13</f>
        <v/>
      </c>
      <c r="K13" s="25" t="inlineStr">
        <is>
          <t>Published</t>
        </is>
      </c>
    </row>
    <row r="14" ht="22" customHeight="1">
      <c r="A14" s="29" t="inlineStr">
        <is>
          <t>PIN-104</t>
        </is>
      </c>
      <c r="B14" s="30" t="inlineStr">
        <is>
          <t>Glowing Ghost Decor (Indoor / Porch)</t>
        </is>
      </c>
      <c r="C14" s="29" t="inlineStr">
        <is>
          <t>Seasonal Decor</t>
        </is>
      </c>
      <c r="D14" s="29" t="inlineStr">
        <is>
          <t>B0B4A5B6C7</t>
        </is>
      </c>
      <c r="E14" s="30" t="inlineStr">
        <is>
          <t>glowing ghost decor, light-up halloween indoor, easy display cute ghost</t>
        </is>
      </c>
      <c r="F14" s="29" t="inlineStr">
        <is>
          <t>2:3 (1000x1500)</t>
        </is>
      </c>
      <c r="G14" s="25" t="inlineStr">
        <is>
          <t>Yes (Compliant)</t>
        </is>
      </c>
      <c r="H14" s="31" t="n">
        <v>3110</v>
      </c>
      <c r="I14" s="32" t="n">
        <v>16</v>
      </c>
      <c r="J14" s="33">
        <f>I14/H14</f>
        <v/>
      </c>
      <c r="K14" s="25" t="inlineStr">
        <is>
          <t>Published</t>
        </is>
      </c>
    </row>
    <row r="15" ht="22" customHeight="1">
      <c r="A15" s="23" t="inlineStr">
        <is>
          <t>PIN-105</t>
        </is>
      </c>
      <c r="B15" s="24" t="inlineStr">
        <is>
          <t>Solar Green Eyeball Swaying Lights</t>
        </is>
      </c>
      <c r="C15" s="23" t="inlineStr">
        <is>
          <t>Outdoor Lighting</t>
        </is>
      </c>
      <c r="D15" s="23" t="inlineStr">
        <is>
          <t>B0B5B6C7D8</t>
        </is>
      </c>
      <c r="E15" s="24" t="inlineStr">
        <is>
          <t>solar green eyeball lights, swaying halloween yard path lights</t>
        </is>
      </c>
      <c r="F15" s="23" t="inlineStr">
        <is>
          <t>2:3 (1000x1500)</t>
        </is>
      </c>
      <c r="G15" s="25" t="inlineStr">
        <is>
          <t>Yes (Compliant)</t>
        </is>
      </c>
      <c r="H15" s="26" t="n">
        <v>2840</v>
      </c>
      <c r="I15" s="27" t="n">
        <v>12</v>
      </c>
      <c r="J15" s="28">
        <f>I15/H15</f>
        <v/>
      </c>
      <c r="K15" s="25" t="inlineStr">
        <is>
          <t>Published</t>
        </is>
      </c>
    </row>
    <row r="16" ht="22" customHeight="1">
      <c r="A16" s="29" t="inlineStr">
        <is>
          <t>PIN-106</t>
        </is>
      </c>
      <c r="B16" s="30" t="inlineStr">
        <is>
          <t>Realistic Graveyard Tombstone Pack</t>
        </is>
      </c>
      <c r="C16" s="29" t="inlineStr">
        <is>
          <t>Outdoor Props</t>
        </is>
      </c>
      <c r="D16" s="29" t="inlineStr">
        <is>
          <t>B0B6C7D8E9</t>
        </is>
      </c>
      <c r="E16" s="30" t="inlineStr">
        <is>
          <t>realistic halloween graveyard, tombstone decorations, cemetery yard</t>
        </is>
      </c>
      <c r="F16" s="29" t="inlineStr">
        <is>
          <t>2:3 (1000x1500)</t>
        </is>
      </c>
      <c r="G16" s="25" t="inlineStr">
        <is>
          <t>Yes (Compliant)</t>
        </is>
      </c>
      <c r="H16" s="31" t="n">
        <v>1920</v>
      </c>
      <c r="I16" s="32" t="n">
        <v>9</v>
      </c>
      <c r="J16" s="33">
        <f>I16/H16</f>
        <v/>
      </c>
      <c r="K16" s="25" t="inlineStr">
        <is>
          <t>Published</t>
        </is>
      </c>
    </row>
    <row r="17" ht="22" customHeight="1">
      <c r="A17" s="23" t="inlineStr">
        <is>
          <t>PIN-107</t>
        </is>
      </c>
      <c r="B17" s="24" t="inlineStr">
        <is>
          <t>Cozy Porch Glow Pumpkin Lights</t>
        </is>
      </c>
      <c r="C17" s="23" t="inlineStr">
        <is>
          <t>Outdoor Lighting</t>
        </is>
      </c>
      <c r="D17" s="23" t="inlineStr">
        <is>
          <t>B0B7D8E9F0</t>
        </is>
      </c>
      <c r="E17" s="24" t="inlineStr">
        <is>
          <t>cozy porch glow pumpkin lights, warm spooky vibes, autumn string lights</t>
        </is>
      </c>
      <c r="F17" s="23" t="inlineStr">
        <is>
          <t>2:3 (1000x1500)</t>
        </is>
      </c>
      <c r="G17" s="25" t="inlineStr">
        <is>
          <t>Yes (Compliant)</t>
        </is>
      </c>
      <c r="H17" s="26" t="n">
        <v>2650</v>
      </c>
      <c r="I17" s="27" t="n">
        <v>15</v>
      </c>
      <c r="J17" s="28">
        <f>I17/H17</f>
        <v/>
      </c>
      <c r="K17" s="25" t="inlineStr">
        <is>
          <t>Published</t>
        </is>
      </c>
    </row>
    <row r="18" ht="22" customHeight="1">
      <c r="A18" s="29" t="inlineStr">
        <is>
          <t>PIN-108</t>
        </is>
      </c>
      <c r="B18" s="30" t="inlineStr">
        <is>
          <t>12 PCS Halloween Witch Hats</t>
        </is>
      </c>
      <c r="C18" s="29" t="inlineStr">
        <is>
          <t>Hanging Decor</t>
        </is>
      </c>
      <c r="D18" s="29" t="inlineStr">
        <is>
          <t>B0B8E9F0G1</t>
        </is>
      </c>
      <c r="E18" s="30" t="inlineStr">
        <is>
          <t>halloween witch hats, magical floating witch hats, porch ceiling decor</t>
        </is>
      </c>
      <c r="F18" s="29" t="inlineStr">
        <is>
          <t>2:3 (1000x1500)</t>
        </is>
      </c>
      <c r="G18" s="25" t="inlineStr">
        <is>
          <t>Yes (Compliant)</t>
        </is>
      </c>
      <c r="H18" s="31" t="n">
        <v>3200</v>
      </c>
      <c r="I18" s="32" t="n">
        <v>21</v>
      </c>
      <c r="J18" s="33">
        <f>I18/H18</f>
        <v/>
      </c>
      <c r="K18" s="25" t="inlineStr">
        <is>
          <t>Published</t>
        </is>
      </c>
    </row>
    <row r="19" ht="22" customHeight="1">
      <c r="A19" s="23" t="inlineStr">
        <is>
          <t>PIN-109</t>
        </is>
      </c>
      <c r="B19" s="24" t="inlineStr">
        <is>
          <t>Minimalist RGB Desk Light Bar</t>
        </is>
      </c>
      <c r="C19" s="23" t="inlineStr">
        <is>
          <t>Desk Accessories</t>
        </is>
      </c>
      <c r="D19" s="23" t="inlineStr">
        <is>
          <t>B0B9F0G1H2</t>
        </is>
      </c>
      <c r="E19" s="24" t="inlineStr">
        <is>
          <t>monitor light bar rgb, aesthetic desk setup, screen lamp reading bar</t>
        </is>
      </c>
      <c r="F19" s="23" t="inlineStr">
        <is>
          <t>2:3 (1000x1500)</t>
        </is>
      </c>
      <c r="G19" s="25" t="inlineStr">
        <is>
          <t>Yes (Compliant)</t>
        </is>
      </c>
      <c r="H19" s="26" t="n">
        <v>1880</v>
      </c>
      <c r="I19" s="27" t="n">
        <v>11</v>
      </c>
      <c r="J19" s="28">
        <f>I19/H19</f>
        <v/>
      </c>
      <c r="K19" s="25" t="inlineStr">
        <is>
          <t>Published</t>
        </is>
      </c>
    </row>
    <row r="20" ht="22" customHeight="1">
      <c r="A20" s="29" t="inlineStr">
        <is>
          <t>PIN-110</t>
        </is>
      </c>
      <c r="B20" s="30" t="inlineStr">
        <is>
          <t>Keyboard Acoustic Sound Dampener</t>
        </is>
      </c>
      <c r="C20" s="29" t="inlineStr">
        <is>
          <t>Gaming Tech</t>
        </is>
      </c>
      <c r="D20" s="29" t="inlineStr">
        <is>
          <t>B0C0G1H2I3</t>
        </is>
      </c>
      <c r="E20" s="30" t="inlineStr">
        <is>
          <t>mechanical keyboard mod, switch sound dampener, desk gaming accessories</t>
        </is>
      </c>
      <c r="F20" s="29" t="inlineStr">
        <is>
          <t>2:3 (1000x1500)</t>
        </is>
      </c>
      <c r="G20" s="25" t="inlineStr">
        <is>
          <t>Yes (Compliant)</t>
        </is>
      </c>
      <c r="H20" s="31" t="n">
        <v>1450</v>
      </c>
      <c r="I20" s="32" t="n">
        <v>7</v>
      </c>
      <c r="J20" s="33">
        <f>I20/H20</f>
        <v/>
      </c>
      <c r="K20" s="34" t="inlineStr">
        <is>
          <t>Scheduled</t>
        </is>
      </c>
    </row>
    <row r="21"/>
    <row r="22" ht="24" customHeight="1">
      <c r="A22" s="35" t="inlineStr">
        <is>
          <t>Channel Reference:</t>
        </is>
      </c>
      <c r="B22" s="36" t="inlineStr">
        <is>
          <t>Live Pinterest Channel: https://ph.pinterest.com/cozynook_finds | All outbound links utilize approved Amazon Associates affiliate tags.</t>
        </is>
      </c>
    </row>
  </sheetData>
  <mergeCells count="13">
    <mergeCell ref="A4:B4"/>
    <mergeCell ref="F6:H6"/>
    <mergeCell ref="F5:H5"/>
    <mergeCell ref="C5:E5"/>
    <mergeCell ref="I5:K5"/>
    <mergeCell ref="A5:B5"/>
    <mergeCell ref="C4:E4"/>
    <mergeCell ref="F4:H4"/>
    <mergeCell ref="I4:K4"/>
    <mergeCell ref="A6:B6"/>
    <mergeCell ref="A9:K9"/>
    <mergeCell ref="C6:E6"/>
    <mergeCell ref="I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2026-10-16T11:43:32Z</dcterms:created>
  <dcterms:modified xsi:type="dcterms:W3CDTF">2026-10-16T11:43:32Z</dcterms:modified>
</cp:coreProperties>
</file>