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475569"/>
      <sz val="9"/>
    </font>
    <font>
      <name val="Segoe UI"/>
      <b val="1"/>
      <color rgb="0064748B"/>
      <sz val="9"/>
    </font>
    <font>
      <name val="Segoe UI"/>
      <b val="1"/>
      <color rgb="000F172A"/>
      <sz val="16"/>
    </font>
    <font>
      <name val="Segoe UI"/>
      <i val="1"/>
      <color rgb="0064748B"/>
      <sz val="8"/>
    </font>
    <font>
      <name val="Segoe UI"/>
      <b val="1"/>
      <color rgb="00065F46"/>
      <sz val="16"/>
    </font>
    <font>
      <name val="Segoe UI"/>
      <b val="1"/>
      <color rgb="001D4ED8"/>
      <sz val="16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59669"/>
      <sz val="10"/>
    </font>
    <font>
      <name val="Segoe UI"/>
      <b val="1"/>
      <color rgb="001D4ED8"/>
      <sz val="10"/>
    </font>
    <font>
      <name val="Segoe UI"/>
      <i val="1"/>
      <color rgb="0064748B"/>
      <sz val="9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3" fontId="4" fillId="3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" fontId="7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164" fontId="9" fillId="7" borderId="2" applyAlignment="1" pivotButton="0" quotePrefix="0" xfId="0">
      <alignment horizontal="right" vertical="center"/>
    </xf>
    <xf numFmtId="165" fontId="9" fillId="7" borderId="2" applyAlignment="1" pivotButton="0" quotePrefix="0" xfId="0">
      <alignment horizontal="right" vertical="center"/>
    </xf>
    <xf numFmtId="166" fontId="9" fillId="7" borderId="2" applyAlignment="1" pivotButton="0" quotePrefix="0" xfId="0">
      <alignment horizontal="center" vertical="center"/>
    </xf>
    <xf numFmtId="3" fontId="9" fillId="7" borderId="2" applyAlignment="1" pivotButton="0" quotePrefix="0" xfId="0">
      <alignment horizontal="right" vertical="center"/>
    </xf>
    <xf numFmtId="164" fontId="10" fillId="7" borderId="2" applyAlignment="1" pivotButton="0" quotePrefix="0" xfId="0">
      <alignment horizontal="right" vertical="center"/>
    </xf>
    <xf numFmtId="1" fontId="11" fillId="7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right" vertical="center"/>
    </xf>
    <xf numFmtId="165" fontId="9" fillId="8" borderId="2" applyAlignment="1" pivotButton="0" quotePrefix="0" xfId="0">
      <alignment horizontal="right" vertical="center"/>
    </xf>
    <xf numFmtId="166" fontId="9" fillId="8" borderId="2" applyAlignment="1" pivotButton="0" quotePrefix="0" xfId="0">
      <alignment horizontal="center" vertical="center"/>
    </xf>
    <xf numFmtId="3" fontId="9" fillId="8" borderId="2" applyAlignment="1" pivotButton="0" quotePrefix="0" xfId="0">
      <alignment horizontal="right" vertical="center"/>
    </xf>
    <xf numFmtId="164" fontId="10" fillId="8" borderId="2" applyAlignment="1" pivotButton="0" quotePrefix="0" xfId="0">
      <alignment horizontal="right" vertical="center"/>
    </xf>
    <xf numFmtId="1" fontId="11" fillId="8" borderId="2" applyAlignment="1" pivotButton="0" quotePrefix="0" xfId="0">
      <alignment horizontal="center" vertical="center"/>
    </xf>
    <xf numFmtId="0" fontId="3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L19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15" customWidth="1" min="2" max="2"/>
    <col width="20" customWidth="1" min="3" max="3"/>
    <col width="23" customWidth="1" min="4" max="4"/>
    <col width="19" customWidth="1" min="5" max="5"/>
    <col width="13" customWidth="1" min="6" max="6"/>
    <col width="13" customWidth="1" min="7" max="7"/>
    <col width="16" customWidth="1" min="8" max="8"/>
    <col width="18" customWidth="1" min="9" max="9"/>
    <col width="27" customWidth="1" min="10" max="10"/>
    <col width="18" customWidth="1" min="11" max="11"/>
    <col width="61" customWidth="1" min="12" max="12"/>
  </cols>
  <sheetData>
    <row r="1" ht="36" customHeight="1">
      <c r="A1" s="1" t="inlineStr">
        <is>
          <t>PRODUCT RESEARCH &amp; COMPETITOR COMPARISON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Demonstration case study | Formula-driven fee modeling, gross margins, and research opportunity scores.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/>
    <row r="4" ht="18" customHeight="1">
      <c r="A4" s="5" t="inlineStr">
        <is>
          <t>PRODUCTS ANALYZED</t>
        </is>
      </c>
      <c r="B4" s="6" t="n"/>
      <c r="C4" s="7" t="inlineStr">
        <is>
          <t>AVG GROSS MARGIN</t>
        </is>
      </c>
      <c r="D4" s="8" t="n"/>
      <c r="E4" s="8" t="n"/>
      <c r="F4" s="9" t="inlineStr">
        <is>
          <t>TOP RESEARCH SCORE</t>
        </is>
      </c>
      <c r="G4" s="10" t="n"/>
      <c r="H4" s="10" t="n"/>
      <c r="I4" s="5" t="inlineStr">
        <is>
          <t>CHANNELS COVERED</t>
        </is>
      </c>
      <c r="J4" s="6" t="n"/>
      <c r="K4" s="6" t="n"/>
      <c r="L4" s="6" t="n"/>
    </row>
    <row r="5" ht="28" customHeight="1">
      <c r="A5" s="11">
        <f>COUNTA(A10:A17)</f>
        <v/>
      </c>
      <c r="B5" s="6" t="n"/>
      <c r="C5" s="12">
        <f>AVERAGE(J10:J17)</f>
        <v/>
      </c>
      <c r="D5" s="8" t="n"/>
      <c r="E5" s="8" t="n"/>
      <c r="F5" s="13">
        <f>MAX(K10:K17)</f>
        <v/>
      </c>
      <c r="G5" s="10" t="n"/>
      <c r="H5" s="10" t="n"/>
      <c r="I5" s="14" t="inlineStr">
        <is>
          <t>Amazon, Shopify, Shopee, Lazada</t>
        </is>
      </c>
      <c r="J5" s="6" t="n"/>
      <c r="K5" s="6" t="n"/>
      <c r="L5" s="6" t="n"/>
    </row>
    <row r="6" ht="16" customHeight="1">
      <c r="A6" s="15" t="inlineStr">
        <is>
          <t>Candidate SKUs</t>
        </is>
      </c>
      <c r="B6" s="6" t="n"/>
      <c r="C6" s="16" t="inlineStr">
        <is>
          <t>Per-Unit Margin</t>
        </is>
      </c>
      <c r="D6" s="8" t="n"/>
      <c r="E6" s="8" t="n"/>
      <c r="F6" s="17" t="inlineStr">
        <is>
          <t>Weighted Out of 100</t>
        </is>
      </c>
      <c r="G6" s="10" t="n"/>
      <c r="H6" s="10" t="n"/>
      <c r="I6" s="15" t="inlineStr">
        <is>
          <t>Multi-Marketplace</t>
        </is>
      </c>
      <c r="J6" s="6" t="n"/>
      <c r="K6" s="6" t="n"/>
      <c r="L6" s="6" t="n"/>
    </row>
    <row r="7"/>
    <row r="8"/>
    <row r="9" ht="28" customHeight="1">
      <c r="A9" s="18" t="inlineStr">
        <is>
          <t>Product</t>
        </is>
      </c>
      <c r="B9" s="18" t="inlineStr">
        <is>
          <t>Marketplace</t>
        </is>
      </c>
      <c r="C9" s="18" t="inlineStr">
        <is>
          <t>Category</t>
        </is>
      </c>
      <c r="D9" s="18" t="inlineStr">
        <is>
          <t>Selling Price (USD)</t>
        </is>
      </c>
      <c r="E9" s="18" t="inlineStr">
        <is>
          <t>Est. Cost (USD)</t>
        </is>
      </c>
      <c r="F9" s="18" t="inlineStr">
        <is>
          <t>Fee Rate</t>
        </is>
      </c>
      <c r="G9" s="18" t="inlineStr">
        <is>
          <t>Rating</t>
        </is>
      </c>
      <c r="H9" s="18" t="inlineStr">
        <is>
          <t>Review Count</t>
        </is>
      </c>
      <c r="I9" s="18" t="inlineStr">
        <is>
          <t>Est. Fee (USD)</t>
        </is>
      </c>
      <c r="J9" s="18" t="inlineStr">
        <is>
          <t>Est. Gross Margin (USD)</t>
        </is>
      </c>
      <c r="K9" s="18" t="inlineStr">
        <is>
          <t>Research Score</t>
        </is>
      </c>
      <c r="L9" s="18" t="inlineStr">
        <is>
          <t>Research / Verification Note</t>
        </is>
      </c>
    </row>
    <row r="10" ht="22" customHeight="1">
      <c r="A10" s="19" t="inlineStr">
        <is>
          <t>Adjustable Laptop Stand</t>
        </is>
      </c>
      <c r="B10" s="20" t="inlineStr">
        <is>
          <t>Amazon</t>
        </is>
      </c>
      <c r="C10" s="19" t="inlineStr">
        <is>
          <t>Desk Accessories</t>
        </is>
      </c>
      <c r="D10" s="21" t="n">
        <v>29.99</v>
      </c>
      <c r="E10" s="21" t="n">
        <v>12</v>
      </c>
      <c r="F10" s="22" t="n">
        <v>0.15</v>
      </c>
      <c r="G10" s="23" t="n">
        <v>4.5</v>
      </c>
      <c r="H10" s="24" t="n">
        <v>1840</v>
      </c>
      <c r="I10" s="21">
        <f>D10*F10</f>
        <v/>
      </c>
      <c r="J10" s="25">
        <f>D10-E10-I10</f>
        <v/>
      </c>
      <c r="K10" s="26">
        <f>ROUND((G10/5)*60+MIN(MAX(J10/D10,0),0.6)*40,0)</f>
        <v/>
      </c>
      <c r="L10" s="19" t="inlineStr">
        <is>
          <t>Compare packaging weight and shipping tier.</t>
        </is>
      </c>
    </row>
    <row r="11" ht="22" customHeight="1">
      <c r="A11" s="27" t="inlineStr">
        <is>
          <t>Under-Desk Headphone Hanger</t>
        </is>
      </c>
      <c r="B11" s="28" t="inlineStr">
        <is>
          <t>Amazon</t>
        </is>
      </c>
      <c r="C11" s="27" t="inlineStr">
        <is>
          <t>Desk Accessories</t>
        </is>
      </c>
      <c r="D11" s="29" t="n">
        <v>16.99</v>
      </c>
      <c r="E11" s="29" t="n">
        <v>5.5</v>
      </c>
      <c r="F11" s="30" t="n">
        <v>0.15</v>
      </c>
      <c r="G11" s="31" t="n">
        <v>4.4</v>
      </c>
      <c r="H11" s="32" t="n">
        <v>920</v>
      </c>
      <c r="I11" s="29">
        <f>D11*F11</f>
        <v/>
      </c>
      <c r="J11" s="33">
        <f>D11-E11-I11</f>
        <v/>
      </c>
      <c r="K11" s="34">
        <f>ROUND((G11/5)*60+MIN(MAX(J11/D11,0),0.6)*40,0)</f>
        <v/>
      </c>
      <c r="L11" s="27" t="inlineStr">
        <is>
          <t>Check adhesive quality vs screw-mount options.</t>
        </is>
      </c>
    </row>
    <row r="12" ht="22" customHeight="1">
      <c r="A12" s="19" t="inlineStr">
        <is>
          <t>Minimalist Desk Mat (Large)</t>
        </is>
      </c>
      <c r="B12" s="20" t="inlineStr">
        <is>
          <t>Shopify</t>
        </is>
      </c>
      <c r="C12" s="19" t="inlineStr">
        <is>
          <t>Office Decor</t>
        </is>
      </c>
      <c r="D12" s="21" t="n">
        <v>24.5</v>
      </c>
      <c r="E12" s="21" t="n">
        <v>8</v>
      </c>
      <c r="F12" s="22" t="n">
        <v>0.035</v>
      </c>
      <c r="G12" s="23" t="n">
        <v>4.7</v>
      </c>
      <c r="H12" s="24" t="n">
        <v>410</v>
      </c>
      <c r="I12" s="21">
        <f>D12*F12</f>
        <v/>
      </c>
      <c r="J12" s="25">
        <f>D12-E12-I12</f>
        <v/>
      </c>
      <c r="K12" s="26">
        <f>ROUND((G12/5)*60+MIN(MAX(J12/D12,0),0.6)*40,0)</f>
        <v/>
      </c>
      <c r="L12" s="19" t="inlineStr">
        <is>
          <t>Supplier packaging needs to prevent edge curling.</t>
        </is>
      </c>
    </row>
    <row r="13" ht="22" customHeight="1">
      <c r="A13" s="27" t="inlineStr">
        <is>
          <t>Cable Management Spine</t>
        </is>
      </c>
      <c r="B13" s="28" t="inlineStr">
        <is>
          <t>Shopify</t>
        </is>
      </c>
      <c r="C13" s="27" t="inlineStr">
        <is>
          <t>Cable Management</t>
        </is>
      </c>
      <c r="D13" s="29" t="n">
        <v>19.99</v>
      </c>
      <c r="E13" s="29" t="n">
        <v>6.25</v>
      </c>
      <c r="F13" s="30" t="n">
        <v>0.035</v>
      </c>
      <c r="G13" s="31" t="n">
        <v>4.3</v>
      </c>
      <c r="H13" s="32" t="n">
        <v>260</v>
      </c>
      <c r="I13" s="29">
        <f>D13*F13</f>
        <v/>
      </c>
      <c r="J13" s="33">
        <f>D13-E13-I13</f>
        <v/>
      </c>
      <c r="K13" s="34">
        <f>ROUND((G13/5)*60+MIN(MAX(J13/D13,0),0.6)*40,0)</f>
        <v/>
      </c>
      <c r="L13" s="27" t="inlineStr">
        <is>
          <t>Bundle with cable ties for higher perceived value.</t>
        </is>
      </c>
    </row>
    <row r="14" ht="22" customHeight="1">
      <c r="A14" s="19" t="inlineStr">
        <is>
          <t>Monitor Light Bar</t>
        </is>
      </c>
      <c r="B14" s="20" t="inlineStr">
        <is>
          <t>Amazon</t>
        </is>
      </c>
      <c r="C14" s="19" t="inlineStr">
        <is>
          <t>Lighting</t>
        </is>
      </c>
      <c r="D14" s="21" t="n">
        <v>39.99</v>
      </c>
      <c r="E14" s="21" t="n">
        <v>17</v>
      </c>
      <c r="F14" s="22" t="n">
        <v>0.15</v>
      </c>
      <c r="G14" s="23" t="n">
        <v>4.6</v>
      </c>
      <c r="H14" s="24" t="n">
        <v>2150</v>
      </c>
      <c r="I14" s="21">
        <f>D14*F14</f>
        <v/>
      </c>
      <c r="J14" s="25">
        <f>D14-E14-I14</f>
        <v/>
      </c>
      <c r="K14" s="26">
        <f>ROUND((G14/5)*60+MIN(MAX(J14/D14,0),0.6)*40,0)</f>
        <v/>
      </c>
      <c r="L14" s="19" t="inlineStr">
        <is>
          <t>Confirm USB-C power compatibility and certifications.</t>
        </is>
      </c>
    </row>
    <row r="15" ht="22" customHeight="1">
      <c r="A15" s="27" t="inlineStr">
        <is>
          <t>Ceramic Coffee Warmer Plate</t>
        </is>
      </c>
      <c r="B15" s="28" t="inlineStr">
        <is>
          <t>Amazon</t>
        </is>
      </c>
      <c r="C15" s="27" t="inlineStr">
        <is>
          <t>Home &amp; Office</t>
        </is>
      </c>
      <c r="D15" s="29" t="n">
        <v>34.99</v>
      </c>
      <c r="E15" s="29" t="n">
        <v>15</v>
      </c>
      <c r="F15" s="30" t="n">
        <v>0.15</v>
      </c>
      <c r="G15" s="31" t="n">
        <v>4.2</v>
      </c>
      <c r="H15" s="32" t="n">
        <v>1380</v>
      </c>
      <c r="I15" s="29">
        <f>D15*F15</f>
        <v/>
      </c>
      <c r="J15" s="33">
        <f>D15-E15-I15</f>
        <v/>
      </c>
      <c r="K15" s="34">
        <f>ROUND((G15/5)*60+MIN(MAX(J15/D15,0),0.6)*40,0)</f>
        <v/>
      </c>
      <c r="L15" s="27" t="inlineStr">
        <is>
          <t>Auto-shutoff feature is a major selling point in reviews.</t>
        </is>
      </c>
    </row>
    <row r="16" ht="22" customHeight="1">
      <c r="A16" s="19" t="inlineStr">
        <is>
          <t>Adjustable Footrest Cushion</t>
        </is>
      </c>
      <c r="B16" s="20" t="inlineStr">
        <is>
          <t>Shopee</t>
        </is>
      </c>
      <c r="C16" s="19" t="inlineStr">
        <is>
          <t>Ergonomics</t>
        </is>
      </c>
      <c r="D16" s="21" t="n">
        <v>22</v>
      </c>
      <c r="E16" s="21" t="n">
        <v>9</v>
      </c>
      <c r="F16" s="22" t="n">
        <v>0.09</v>
      </c>
      <c r="G16" s="23" t="n">
        <v>4.6</v>
      </c>
      <c r="H16" s="24" t="n">
        <v>640</v>
      </c>
      <c r="I16" s="21">
        <f>D16*F16</f>
        <v/>
      </c>
      <c r="J16" s="25">
        <f>D16-E16-I16</f>
        <v/>
      </c>
      <c r="K16" s="26">
        <f>ROUND((G16/5)*60+MIN(MAX(J16/D16,0),0.6)*40,0)</f>
        <v/>
      </c>
      <c r="L16" s="19" t="inlineStr">
        <is>
          <t>Washable cover material needs clear supplier proof.</t>
        </is>
      </c>
    </row>
    <row r="17" ht="22" customHeight="1">
      <c r="A17" s="27" t="inlineStr">
        <is>
          <t>Ergonomic Footrest</t>
        </is>
      </c>
      <c r="B17" s="28" t="inlineStr">
        <is>
          <t>Lazada</t>
        </is>
      </c>
      <c r="C17" s="27" t="inlineStr">
        <is>
          <t>Office Comfort</t>
        </is>
      </c>
      <c r="D17" s="29" t="n">
        <v>27.99</v>
      </c>
      <c r="E17" s="29" t="n">
        <v>11.5</v>
      </c>
      <c r="F17" s="30" t="n">
        <v>0.12</v>
      </c>
      <c r="G17" s="31" t="n">
        <v>4.5</v>
      </c>
      <c r="H17" s="32" t="n">
        <v>790</v>
      </c>
      <c r="I17" s="29">
        <f>D17*F17</f>
        <v/>
      </c>
      <c r="J17" s="33">
        <f>D17-E17-I17</f>
        <v/>
      </c>
      <c r="K17" s="34">
        <f>ROUND((G17/5)*60+MIN(MAX(J17/D17,0),0.6)*40,0)</f>
        <v/>
      </c>
      <c r="L17" s="27" t="inlineStr">
        <is>
          <t>Compare dimensions, adjustability, and materials.</t>
        </is>
      </c>
    </row>
    <row r="18"/>
    <row r="19" ht="24" customHeight="1">
      <c r="A19" s="35" t="inlineStr">
        <is>
          <t>Formula logic note:</t>
        </is>
      </c>
      <c r="B19" s="36" t="inlineStr">
        <is>
          <t>Research Score = ROUND((Rating/5)*60 + MIN(MAX(Gross_Margin/Price, 0), 0.6)*40, 0). All sample values are illustrative.</t>
        </is>
      </c>
    </row>
  </sheetData>
  <mergeCells count="12">
    <mergeCell ref="A4:B4"/>
    <mergeCell ref="F6:H6"/>
    <mergeCell ref="F5:H5"/>
    <mergeCell ref="C5:E5"/>
    <mergeCell ref="I5:L5"/>
    <mergeCell ref="A5:B5"/>
    <mergeCell ref="I4:L4"/>
    <mergeCell ref="C4:E4"/>
    <mergeCell ref="I6:L6"/>
    <mergeCell ref="F4:H4"/>
    <mergeCell ref="A6:B6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2026-10-16T10:17:02Z</dcterms:created>
  <dcterms:modified xsi:type="dcterms:W3CDTF">2026-10-16T10:17:02Z</dcterms:modified>
</cp:coreProperties>
</file>