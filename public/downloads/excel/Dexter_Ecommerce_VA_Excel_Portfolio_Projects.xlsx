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5 Dashboard" sheetId="2" state="visible" r:id="rId2"/>
    <sheet name="1 Product Research" sheetId="3" state="visible" r:id="rId3"/>
    <sheet name="2 Listing Audit" sheetId="4" state="visible" r:id="rId4"/>
    <sheet name="3 Inventory Tracker" sheetId="5" state="visible" r:id="rId5"/>
    <sheet name="4 Order Tracker" sheetId="6" state="visible" r:id="rId6"/>
  </sheets>
  <definedNames>
    <definedName name="_xlnm._FilterDatabase" localSheetId="2" hidden="1">'1 Product Research'!$A$3:$L$11</definedName>
    <definedName name="_xlnm._FilterDatabase" localSheetId="3" hidden="1">'2 Listing Audit'!$A$3:$L$11</definedName>
    <definedName name="_xlnm._FilterDatabase" localSheetId="4" hidden="1">'3 Inventory Tracker'!$A$3:$M$11</definedName>
    <definedName name="_xlnm._FilterDatabase" localSheetId="5" hidden="1">'4 Order Tracker'!$A$3:$L$11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"/>
    <numFmt numFmtId="166" formatCode="mmm d, yyyy"/>
    <numFmt numFmtId="167" formatCode="$#,##0.00"/>
    <numFmt numFmtId="168" formatCode="0.0%"/>
  </numFmts>
  <fonts count="1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7365D"/>
    </font>
    <font>
      <b val="1"/>
      <color rgb="00FFFFFF"/>
    </font>
    <font>
      <b val="1"/>
      <color rgb="00203040"/>
      <sz val="14"/>
    </font>
    <font>
      <b val="1"/>
      <color rgb="00FFFFFF"/>
      <sz val="12"/>
    </font>
    <font>
      <name val="Segoe UI"/>
      <b val="1"/>
      <color rgb="00F8FAFC"/>
      <sz val="13"/>
    </font>
    <font>
      <name val="Segoe UI"/>
      <i val="1"/>
      <color rgb="00475569"/>
      <sz val="9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65F46"/>
      <sz val="10"/>
    </font>
    <font>
      <name val="Segoe UI"/>
      <color rgb="00475569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3730A3"/>
      <sz val="10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1E293B"/>
      </left>
      <right style="thin">
        <color rgb="001E293B"/>
      </right>
      <top style="medium">
        <color rgb="001E293B"/>
      </top>
      <bottom style="medium">
        <color rgb="000F172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5" fillId="5" borderId="0" applyAlignment="1" pivotButton="0" quotePrefix="0" xfId="0">
      <alignment vertical="top" wrapText="1"/>
    </xf>
    <xf numFmtId="164" fontId="5" fillId="5" borderId="0" applyAlignment="1" pivotButton="0" quotePrefix="0" xfId="0">
      <alignment vertical="top" wrapText="1"/>
    </xf>
    <xf numFmtId="165" fontId="5" fillId="5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9" fontId="0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6" fontId="0" fillId="5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7" fillId="6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164" fontId="10" fillId="5" borderId="1" applyAlignment="1" pivotButton="0" quotePrefix="0" xfId="0">
      <alignment vertical="center" wrapText="1"/>
    </xf>
    <xf numFmtId="165" fontId="10" fillId="5" borderId="1" applyAlignment="1" pivotButton="0" quotePrefix="0" xfId="0">
      <alignment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/>
    </xf>
    <xf numFmtId="167" fontId="12" fillId="9" borderId="1" applyAlignment="1" pivotButton="0" quotePrefix="0" xfId="0">
      <alignment horizontal="right" vertical="center"/>
    </xf>
    <xf numFmtId="168" fontId="12" fillId="9" borderId="1" applyAlignment="1" pivotButton="0" quotePrefix="0" xfId="0">
      <alignment horizontal="right" vertical="center"/>
    </xf>
    <xf numFmtId="165" fontId="12" fillId="9" borderId="1" applyAlignment="1" pivotButton="0" quotePrefix="0" xfId="0">
      <alignment horizontal="center" vertical="center"/>
    </xf>
    <xf numFmtId="3" fontId="12" fillId="9" borderId="1" applyAlignment="1" pivotButton="0" quotePrefix="0" xfId="0">
      <alignment horizontal="right" vertical="center"/>
    </xf>
    <xf numFmtId="0" fontId="12" fillId="10" borderId="1" applyAlignment="1" pivotButton="0" quotePrefix="0" xfId="0">
      <alignment horizontal="left" vertical="center"/>
    </xf>
    <xf numFmtId="167" fontId="12" fillId="10" borderId="1" applyAlignment="1" pivotButton="0" quotePrefix="0" xfId="0">
      <alignment horizontal="right" vertical="center"/>
    </xf>
    <xf numFmtId="168" fontId="12" fillId="10" borderId="1" applyAlignment="1" pivotButton="0" quotePrefix="0" xfId="0">
      <alignment horizontal="right" vertical="center"/>
    </xf>
    <xf numFmtId="165" fontId="12" fillId="10" borderId="1" applyAlignment="1" pivotButton="0" quotePrefix="0" xfId="0">
      <alignment horizontal="center" vertical="center"/>
    </xf>
    <xf numFmtId="3" fontId="12" fillId="10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167" fontId="13" fillId="11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167" fontId="15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166" fontId="12" fillId="9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166" fontId="12" fillId="1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ProductResearch" displayName="ProductResearch" ref="A3:L11" headerRowCount="1">
  <autoFilter ref="A3:L11"/>
  <tableColumns count="12">
    <tableColumn id="1" name="Product"/>
    <tableColumn id="2" name="Marketplace"/>
    <tableColumn id="3" name="Category"/>
    <tableColumn id="4" name="Selling Price (USD)"/>
    <tableColumn id="5" name="Est. Cost (USD)"/>
    <tableColumn id="6" name="Est. Platform/Referral Fee %"/>
    <tableColumn id="7" name="Rating"/>
    <tableColumn id="8" name="Review Count"/>
    <tableColumn id="9" name="Est. Fee (USD)"/>
    <tableColumn id="10" name="Est. Gross Margin (USD)"/>
    <tableColumn id="11" name="Research Score"/>
    <tableColumn id="12" name="Research 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ListingAudit" displayName="ListingAudit" ref="A3:L11" headerRowCount="1">
  <autoFilter ref="A3:L11"/>
  <tableColumns count="12">
    <tableColumn id="1" name="SKU"/>
    <tableColumn id="2" name="Product Name"/>
    <tableColumn id="3" name="Title Present?"/>
    <tableColumn id="4" name="Description Present?"/>
    <tableColumn id="5" name="Images Checked?"/>
    <tableColumn id="6" name="Price Checked?"/>
    <tableColumn id="7" name="Category Correct?"/>
    <tableColumn id="8" name="Key Attributes Complete?"/>
    <tableColumn id="9" name="Listing Status"/>
    <tableColumn id="10" name="Priority"/>
    <tableColumn id="11" name="Recommended Action"/>
    <tableColumn id="12" name="Owner/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ventoryTracker" displayName="InventoryTracker" ref="A3:M11" headerRowCount="1">
  <autoFilter ref="A3:M11"/>
  <tableColumns count="13">
    <tableColumn id="1" name="SKU"/>
    <tableColumn id="2" name="Product"/>
    <tableColumn id="3" name="Supplier"/>
    <tableColumn id="4" name="Stock On Hand"/>
    <tableColumn id="5" name="Avg Daily Sales"/>
    <tableColumn id="6" name="Lead Time (Days)"/>
    <tableColumn id="7" name="Safety Stock"/>
    <tableColumn id="8" name="Reorder Point"/>
    <tableColumn id="9" name="Suggested Order Qty"/>
    <tableColumn id="10" name="Stock Status"/>
    <tableColumn id="11" name="Unit Cost (USD)"/>
    <tableColumn id="12" name="Stock Value (USD)"/>
    <tableColumn id="13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OrderTracker" displayName="OrderTracker" ref="A3:L11" headerRowCount="1">
  <autoFilter ref="A3:L11"/>
  <tableColumns count="12">
    <tableColumn id="1" name="Order ID"/>
    <tableColumn id="2" name="Order Date"/>
    <tableColumn id="3" name="Channel"/>
    <tableColumn id="4" name="Customer Ref"/>
    <tableColumn id="5" name="SKU"/>
    <tableColumn id="6" name="Qty"/>
    <tableColumn id="7" name="Order Value (USD)"/>
    <tableColumn id="8" name="Payment Status"/>
    <tableColumn id="9" name="Fulfillment Status"/>
    <tableColumn id="10" name="Days Since Order"/>
    <tableColumn id="11" name="Follow-up Flag"/>
    <tableColumn id="12" name="Issue / Next A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8C532B"/>
    <outlinePr summaryBelow="1" summaryRight="1"/>
    <pageSetUpPr fitToPage="1"/>
  </sheetPr>
  <dimension ref="A1:H12"/>
  <sheetViews>
    <sheetView showGridLines="1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20" t="inlineStr">
        <is>
          <t>DEXTER E. BALBUENA | E-COMMERCE VA PORTFOLIO</t>
        </is>
      </c>
      <c r="B1" s="20" t="n"/>
      <c r="C1" s="20" t="n"/>
      <c r="D1" s="20" t="n"/>
      <c r="E1" s="20" t="n"/>
      <c r="F1" s="20" t="n"/>
      <c r="G1" s="20" t="n"/>
      <c r="H1" s="20" t="n"/>
    </row>
    <row r="2" ht="24" customHeight="1">
      <c r="A2" s="21" t="inlineStr">
        <is>
          <t>Excel case studies built around product research, listing quality, inventory tracking, and store operations.</t>
        </is>
      </c>
      <c r="B2" s="21" t="n"/>
      <c r="C2" s="21" t="n"/>
      <c r="D2" s="21" t="n"/>
      <c r="E2" s="21" t="n"/>
      <c r="F2" s="21" t="n"/>
      <c r="G2" s="21" t="n"/>
      <c r="H2" s="21" t="n"/>
    </row>
    <row r="3"/>
    <row r="4" ht="30" customHeight="1">
      <c r="A4" s="22" t="inlineStr">
        <is>
          <t>PURPOSE</t>
        </is>
      </c>
      <c r="B4" s="23" t="inlineStr">
        <is>
          <t>A practical portfolio workbook demonstrating spreadsheet workflows relevant to entry-level E-commerce VA work.</t>
        </is>
      </c>
    </row>
    <row r="5" ht="40" customHeight="1">
      <c r="A5" s="22" t="inlineStr">
        <is>
          <t>PROJECT 1 — Product Research</t>
        </is>
      </c>
      <c r="B5" s="23" t="inlineStr">
        <is>
          <t>Compare sample products using price, rating, review count, estimated fees, and a simple opportunity score. Sample figures are fictional and for demonstration only.</t>
        </is>
      </c>
    </row>
    <row r="6" ht="30" customHeight="1">
      <c r="A6" s="22" t="inlineStr">
        <is>
          <t>PROJECT 2 — Listing Quality Audit</t>
        </is>
      </c>
      <c r="B6" s="23" t="inlineStr">
        <is>
          <t>Audit listing titles, descriptions, images, SKU, category, and key attributes. Use the status column to prioritize cleanup.</t>
        </is>
      </c>
    </row>
    <row r="7" ht="30" customHeight="1">
      <c r="A7" s="22" t="inlineStr">
        <is>
          <t>PROJECT 3 — Inventory &amp; Reorder Tracker</t>
        </is>
      </c>
      <c r="B7" s="23" t="inlineStr">
        <is>
          <t>Monitor stock on hand, average daily sales, lead time, safety stock, reorder points, and suggested reorder quantities.</t>
        </is>
      </c>
    </row>
    <row r="8" ht="30" customHeight="1">
      <c r="A8" s="22" t="inlineStr">
        <is>
          <t>PROJECT 4 — Order Operations Tracker</t>
        </is>
      </c>
      <c r="B8" s="23" t="inlineStr">
        <is>
          <t>Track sample orders by status, payment, fulfillment, and issue notes. Use filters to spot orders that may need follow-up.</t>
        </is>
      </c>
    </row>
    <row r="9" ht="40" customHeight="1">
      <c r="A9" s="22" t="inlineStr">
        <is>
          <t>IMPORTANT PORTFOLIO NOTE</t>
        </is>
      </c>
      <c r="B9" s="23" t="inlineStr">
        <is>
          <t>These are simulated sample datasets, not real client results. Keep that transparent on your portfolio website. Replace the sample rows with anonymized or permission-approved data if you later work with clients.</t>
        </is>
      </c>
    </row>
    <row r="10" ht="40" customHeight="1">
      <c r="A10" s="22" t="inlineStr">
        <is>
          <t>HOW TO USE</t>
        </is>
      </c>
      <c r="B10" s="23" t="inlineStr">
        <is>
          <t>Open each project tab, inspect formulas, filter the tables, and change sample inputs to see the workbook update. In Excel, formulas recalculate automatically.</t>
        </is>
      </c>
    </row>
    <row r="11" ht="30" customHeight="1">
      <c r="A11" s="22" t="inlineStr">
        <is>
          <t>SUGGESTED PORTFOLIO TITLE</t>
        </is>
      </c>
      <c r="B11" s="23" t="inlineStr">
        <is>
          <t>E-commerce Operations Toolkit in Excel: Product Research, Listing Audit, Inventory Planning &amp; Order Tracking</t>
        </is>
      </c>
    </row>
    <row r="12" ht="40" customHeight="1">
      <c r="A12" s="22" t="inlineStr">
        <is>
          <t>WHAT THIS SHOWS</t>
        </is>
      </c>
      <c r="B12" s="23" t="inlineStr">
        <is>
          <t>Excel/Sheets organization, data cleaning, product comparison, operational tracking, basic formulas, conditional formatting, and clear documentation.</t>
        </is>
      </c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 fitToPage="1"/>
  </sheetPr>
  <dimension ref="A1:H16"/>
  <sheetViews>
    <sheetView showGridLines="1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20" t="inlineStr">
        <is>
          <t>E-COMMERCE OPERATIONS | MINI DASHBOARD</t>
        </is>
      </c>
      <c r="B1" s="20" t="n"/>
      <c r="C1" s="20" t="n"/>
      <c r="D1" s="20" t="n"/>
      <c r="E1" s="20" t="n"/>
      <c r="F1" s="20" t="n"/>
      <c r="G1" s="20" t="n"/>
      <c r="H1" s="20" t="n"/>
    </row>
    <row r="2" ht="24" customHeight="1">
      <c r="A2" s="21" t="inlineStr">
        <is>
          <t>A quick summary of the fictional sample records across the workbook.</t>
        </is>
      </c>
      <c r="B2" s="21" t="n"/>
      <c r="C2" s="21" t="n"/>
      <c r="D2" s="21" t="n"/>
      <c r="E2" s="21" t="n"/>
      <c r="F2" s="21" t="n"/>
      <c r="G2" s="21" t="n"/>
      <c r="H2" s="21" t="n"/>
    </row>
    <row r="3"/>
    <row r="4" ht="29" customHeight="1">
      <c r="A4" s="22" t="inlineStr">
        <is>
          <t>Products researched</t>
        </is>
      </c>
      <c r="B4" s="24">
        <f>COUNTA('1 Product Research'!A4:A11)</f>
        <v/>
      </c>
    </row>
    <row r="5" ht="29" customHeight="1">
      <c r="A5" s="22" t="inlineStr">
        <is>
          <t>Listings needing review</t>
        </is>
      </c>
      <c r="B5" s="24">
        <f>COUNTIF('2 Listing Audit'!I4:I11,"Needs Review")+COUNTIF('2 Listing Audit'!I4:I11,"Needs Major Update")</f>
        <v/>
      </c>
    </row>
    <row r="6" ht="29" customHeight="1">
      <c r="A6" s="22" t="inlineStr">
        <is>
          <t>Inventory items to reorder</t>
        </is>
      </c>
      <c r="B6" s="24">
        <f>COUNTIF('3 Inventory Tracker'!J4:J11,"REORDER")</f>
        <v/>
      </c>
    </row>
    <row r="7" ht="29" customHeight="1">
      <c r="A7" s="22" t="inlineStr">
        <is>
          <t>Orders flagged for follow-up</t>
        </is>
      </c>
      <c r="B7" s="24">
        <f>COUNTIF('4 Order Tracker'!K4:K11,"FOLLOW UP")</f>
        <v/>
      </c>
    </row>
    <row r="8" ht="29" customHeight="1">
      <c r="A8" s="22" t="inlineStr">
        <is>
          <t>Estimated inventory value</t>
        </is>
      </c>
      <c r="B8" s="25">
        <f>SUM('3 Inventory Tracker'!L4:L11)</f>
        <v/>
      </c>
    </row>
    <row r="9" ht="29" customHeight="1">
      <c r="A9" s="22" t="inlineStr">
        <is>
          <t>Average sample product rating</t>
        </is>
      </c>
      <c r="B9" s="26">
        <f>AVERAGE('1 Product Research'!G4:G11)</f>
        <v/>
      </c>
    </row>
    <row r="10"/>
    <row r="11"/>
    <row r="12">
      <c r="A12" s="22" t="inlineStr">
        <is>
          <t>How to present this on your portfolio</t>
        </is>
      </c>
    </row>
    <row r="13" ht="34" customHeight="1">
      <c r="A13" s="22" t="inlineStr">
        <is>
          <t>• Problem: Small online stores need accurate product data, clear listings, and visibility into inventory and order queues.</t>
        </is>
      </c>
    </row>
    <row r="14" ht="34" customHeight="1">
      <c r="A14" s="22" t="inlineStr">
        <is>
          <t>• Approach: Built an Excel toolkit with structured tables, dropdowns, formulas, conditional formatting, and a summary dashboard.</t>
        </is>
      </c>
    </row>
    <row r="15" ht="34" customHeight="1">
      <c r="A15" s="22" t="inlineStr">
        <is>
          <t>• Deliverables: Product comparison, listing audit, reorder tracker, order follow-up queue, and dashboard.</t>
        </is>
      </c>
    </row>
    <row r="16" ht="34" customHeight="1">
      <c r="A16" s="22" t="inlineStr">
        <is>
          <t>• Transparency: Sample data is fictional. The workbook demonstrates process and spreadsheet skills, not actual client outcomes.</t>
        </is>
      </c>
    </row>
  </sheetData>
  <mergeCells count="7">
    <mergeCell ref="A16:F16"/>
    <mergeCell ref="A13:F13"/>
    <mergeCell ref="A14:F14"/>
    <mergeCell ref="A2:H2"/>
    <mergeCell ref="A12:F12"/>
    <mergeCell ref="A1:H1"/>
    <mergeCell ref="A15:F15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L13"/>
  <sheetViews>
    <sheetView showGridLines="1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55" customWidth="1" min="2" max="2"/>
    <col width="25" customWidth="1" min="3" max="3"/>
    <col width="24" customWidth="1" min="4" max="4"/>
    <col width="20" customWidth="1" min="5" max="5"/>
    <col width="33" customWidth="1" min="6" max="6"/>
    <col width="12" customWidth="1" min="7" max="7"/>
    <col width="17" customWidth="1" min="8" max="8"/>
    <col width="19" customWidth="1" min="9" max="9"/>
    <col width="28" customWidth="1" min="10" max="10"/>
    <col width="19" customWidth="1" min="11" max="11"/>
    <col width="55" customWidth="1" min="12" max="12"/>
  </cols>
  <sheetData>
    <row r="1" ht="36" customHeight="1">
      <c r="A1" s="20" t="inlineStr">
        <is>
          <t>PROJECT 1 | PRODUCT RESEARCH &amp; COMPARISON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 ht="24" customHeight="1">
      <c r="A2" s="21" t="inlineStr">
        <is>
          <t>Fictional sample data. Use this as a decision-support sheet, not as proof of actual profitability.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</row>
    <row r="3" ht="28" customHeight="1">
      <c r="A3" s="27" t="inlineStr">
        <is>
          <t>Product</t>
        </is>
      </c>
      <c r="B3" s="27" t="inlineStr">
        <is>
          <t>Marketplace</t>
        </is>
      </c>
      <c r="C3" s="27" t="inlineStr">
        <is>
          <t>Category</t>
        </is>
      </c>
      <c r="D3" s="27" t="inlineStr">
        <is>
          <t>Selling Price (USD)</t>
        </is>
      </c>
      <c r="E3" s="27" t="inlineStr">
        <is>
          <t>Est. Cost (USD)</t>
        </is>
      </c>
      <c r="F3" s="27" t="inlineStr">
        <is>
          <t>Est. Platform/Referral Fee %</t>
        </is>
      </c>
      <c r="G3" s="27" t="inlineStr">
        <is>
          <t>Rating</t>
        </is>
      </c>
      <c r="H3" s="27" t="inlineStr">
        <is>
          <t>Review Count</t>
        </is>
      </c>
      <c r="I3" s="27" t="inlineStr">
        <is>
          <t>Est. Fee (USD)</t>
        </is>
      </c>
      <c r="J3" s="27" t="inlineStr">
        <is>
          <t>Est. Gross Margin (USD)</t>
        </is>
      </c>
      <c r="K3" s="27" t="inlineStr">
        <is>
          <t>Research Score</t>
        </is>
      </c>
      <c r="L3" s="27" t="inlineStr">
        <is>
          <t>Research Notes</t>
        </is>
      </c>
    </row>
    <row r="4" ht="22" customHeight="1">
      <c r="A4" s="28" t="inlineStr">
        <is>
          <t>Adjustable Laptop Stand</t>
        </is>
      </c>
      <c r="B4" s="28" t="inlineStr">
        <is>
          <t>Amazon</t>
        </is>
      </c>
      <c r="C4" s="28" t="inlineStr">
        <is>
          <t>Desk Accessories</t>
        </is>
      </c>
      <c r="D4" s="29" t="n">
        <v>29.99</v>
      </c>
      <c r="E4" s="29" t="n">
        <v>12</v>
      </c>
      <c r="F4" s="30" t="n">
        <v>0.15</v>
      </c>
      <c r="G4" s="31" t="n">
        <v>4.5</v>
      </c>
      <c r="H4" s="32" t="n">
        <v>1840</v>
      </c>
      <c r="I4" s="29">
        <f>D4*F4</f>
        <v/>
      </c>
      <c r="J4" s="29">
        <f>D4-E4-I4</f>
        <v/>
      </c>
      <c r="K4" s="32">
        <f>ROUND((G4/5)*60+MIN(MAX(J4/D4,0),0.6)*40,0)</f>
        <v/>
      </c>
      <c r="L4" s="28" t="inlineStr">
        <is>
          <t>Sample product; verify demand, competition, and current price.</t>
        </is>
      </c>
    </row>
    <row r="5" ht="22" customHeight="1">
      <c r="A5" s="33" t="inlineStr">
        <is>
          <t>Under-Desk Headphone Hanger</t>
        </is>
      </c>
      <c r="B5" s="33" t="inlineStr">
        <is>
          <t>Amazon</t>
        </is>
      </c>
      <c r="C5" s="33" t="inlineStr">
        <is>
          <t>Desk Accessories</t>
        </is>
      </c>
      <c r="D5" s="34" t="n">
        <v>16.99</v>
      </c>
      <c r="E5" s="34" t="n">
        <v>5.5</v>
      </c>
      <c r="F5" s="35" t="n">
        <v>0.15</v>
      </c>
      <c r="G5" s="36" t="n">
        <v>4.4</v>
      </c>
      <c r="H5" s="37" t="n">
        <v>920</v>
      </c>
      <c r="I5" s="34">
        <f>D5*F5</f>
        <v/>
      </c>
      <c r="J5" s="34">
        <f>D5-E5-I5</f>
        <v/>
      </c>
      <c r="K5" s="37">
        <f>ROUND((G5/5)*60+MIN(MAX(J5/D5,0),0.6)*40,0)</f>
        <v/>
      </c>
      <c r="L5" s="33" t="inlineStr">
        <is>
          <t>Sample product; check attachment compatibility and review themes.</t>
        </is>
      </c>
    </row>
    <row r="6" ht="22" customHeight="1">
      <c r="A6" s="28" t="inlineStr">
        <is>
          <t>Cable Management Tray</t>
        </is>
      </c>
      <c r="B6" s="28" t="inlineStr">
        <is>
          <t>Shopee</t>
        </is>
      </c>
      <c r="C6" s="28" t="inlineStr">
        <is>
          <t>Office Organization</t>
        </is>
      </c>
      <c r="D6" s="29" t="n">
        <v>22.5</v>
      </c>
      <c r="E6" s="29" t="n">
        <v>8.25</v>
      </c>
      <c r="F6" s="30" t="n">
        <v>0.12</v>
      </c>
      <c r="G6" s="31" t="n">
        <v>4.3</v>
      </c>
      <c r="H6" s="32" t="n">
        <v>610</v>
      </c>
      <c r="I6" s="29">
        <f>D6*F6</f>
        <v/>
      </c>
      <c r="J6" s="29">
        <f>D6-E6-I6</f>
        <v/>
      </c>
      <c r="K6" s="32">
        <f>ROUND((G6/5)*60+MIN(MAX(J6/D6,0),0.6)*40,0)</f>
        <v/>
      </c>
      <c r="L6" s="28" t="inlineStr">
        <is>
          <t>Sample product; compare dimensions and installation requirements.</t>
        </is>
      </c>
    </row>
    <row r="7" ht="22" customHeight="1">
      <c r="A7" s="33" t="inlineStr">
        <is>
          <t>Portable LED Desk Lamp</t>
        </is>
      </c>
      <c r="B7" s="33" t="inlineStr">
        <is>
          <t>Lazada</t>
        </is>
      </c>
      <c r="C7" s="33" t="inlineStr">
        <is>
          <t>Lighting</t>
        </is>
      </c>
      <c r="D7" s="34" t="n">
        <v>24.99</v>
      </c>
      <c r="E7" s="34" t="n">
        <v>10</v>
      </c>
      <c r="F7" s="35" t="n">
        <v>0.12</v>
      </c>
      <c r="G7" s="36" t="n">
        <v>4.6</v>
      </c>
      <c r="H7" s="37" t="n">
        <v>1250</v>
      </c>
      <c r="I7" s="34">
        <f>D7*F7</f>
        <v/>
      </c>
      <c r="J7" s="34">
        <f>D7-E7-I7</f>
        <v/>
      </c>
      <c r="K7" s="37">
        <f>ROUND((G7/5)*60+MIN(MAX(J7/D7,0),0.6)*40,0)</f>
        <v/>
      </c>
      <c r="L7" s="33" t="inlineStr">
        <is>
          <t>Sample product; confirm specs and safety certifications.</t>
        </is>
      </c>
    </row>
    <row r="8" ht="22" customHeight="1">
      <c r="A8" s="28" t="inlineStr">
        <is>
          <t>Foldable Laptop Riser</t>
        </is>
      </c>
      <c r="B8" s="28" t="inlineStr">
        <is>
          <t>Amazon</t>
        </is>
      </c>
      <c r="C8" s="28" t="inlineStr">
        <is>
          <t>Desk Accessories</t>
        </is>
      </c>
      <c r="D8" s="29" t="n">
        <v>19.99</v>
      </c>
      <c r="E8" s="29" t="n">
        <v>7</v>
      </c>
      <c r="F8" s="30" t="n">
        <v>0.15</v>
      </c>
      <c r="G8" s="31" t="n">
        <v>4.2</v>
      </c>
      <c r="H8" s="32" t="n">
        <v>430</v>
      </c>
      <c r="I8" s="29">
        <f>D8*F8</f>
        <v/>
      </c>
      <c r="J8" s="29">
        <f>D8-E8-I8</f>
        <v/>
      </c>
      <c r="K8" s="32">
        <f>ROUND((G8/5)*60+MIN(MAX(J8/D8,0),0.6)*40,0)</f>
        <v/>
      </c>
      <c r="L8" s="28" t="inlineStr">
        <is>
          <t>Sample product; compare materials and weight capacity.</t>
        </is>
      </c>
    </row>
    <row r="9" ht="22" customHeight="1">
      <c r="A9" s="33" t="inlineStr">
        <is>
          <t>Minimalist Desk Organizer</t>
        </is>
      </c>
      <c r="B9" s="33" t="inlineStr">
        <is>
          <t>Shopee</t>
        </is>
      </c>
      <c r="C9" s="33" t="inlineStr">
        <is>
          <t>Office Organization</t>
        </is>
      </c>
      <c r="D9" s="34" t="n">
        <v>14.99</v>
      </c>
      <c r="E9" s="34" t="n">
        <v>4.5</v>
      </c>
      <c r="F9" s="35" t="n">
        <v>0.12</v>
      </c>
      <c r="G9" s="36" t="n">
        <v>4.1</v>
      </c>
      <c r="H9" s="37" t="n">
        <v>285</v>
      </c>
      <c r="I9" s="34">
        <f>D9*F9</f>
        <v/>
      </c>
      <c r="J9" s="34">
        <f>D9-E9-I9</f>
        <v/>
      </c>
      <c r="K9" s="37">
        <f>ROUND((G9/5)*60+MIN(MAX(J9/D9,0),0.6)*40,0)</f>
        <v/>
      </c>
      <c r="L9" s="33" t="inlineStr">
        <is>
          <t>Sample product; verify dimensions and storage compartments.</t>
        </is>
      </c>
    </row>
    <row r="10" ht="22" customHeight="1">
      <c r="A10" s="28" t="inlineStr">
        <is>
          <t>USB-C Hub Adapter</t>
        </is>
      </c>
      <c r="B10" s="28" t="inlineStr">
        <is>
          <t>Amazon</t>
        </is>
      </c>
      <c r="C10" s="28" t="inlineStr">
        <is>
          <t>Computer Accessories</t>
        </is>
      </c>
      <c r="D10" s="29" t="n">
        <v>34.99</v>
      </c>
      <c r="E10" s="29" t="n">
        <v>18</v>
      </c>
      <c r="F10" s="30" t="n">
        <v>0.15</v>
      </c>
      <c r="G10" s="31" t="n">
        <v>4.4</v>
      </c>
      <c r="H10" s="32" t="n">
        <v>2100</v>
      </c>
      <c r="I10" s="29">
        <f>D10*F10</f>
        <v/>
      </c>
      <c r="J10" s="29">
        <f>D10-E10-I10</f>
        <v/>
      </c>
      <c r="K10" s="32">
        <f>ROUND((G10/5)*60+MIN(MAX(J10/D10,0),0.6)*40,0)</f>
        <v/>
      </c>
      <c r="L10" s="28" t="inlineStr">
        <is>
          <t>Sample product; verify ports, compatibility, and warranty.</t>
        </is>
      </c>
    </row>
    <row r="11" ht="22" customHeight="1">
      <c r="A11" s="33" t="inlineStr">
        <is>
          <t>Ergonomic Footrest</t>
        </is>
      </c>
      <c r="B11" s="33" t="inlineStr">
        <is>
          <t>Lazada</t>
        </is>
      </c>
      <c r="C11" s="33" t="inlineStr">
        <is>
          <t>Office Comfort</t>
        </is>
      </c>
      <c r="D11" s="34" t="n">
        <v>27.99</v>
      </c>
      <c r="E11" s="34" t="n">
        <v>11.5</v>
      </c>
      <c r="F11" s="35" t="n">
        <v>0.12</v>
      </c>
      <c r="G11" s="36" t="n">
        <v>4.5</v>
      </c>
      <c r="H11" s="37" t="n">
        <v>790</v>
      </c>
      <c r="I11" s="34">
        <f>D11*F11</f>
        <v/>
      </c>
      <c r="J11" s="34">
        <f>D11-E11-I11</f>
        <v/>
      </c>
      <c r="K11" s="37">
        <f>ROUND((G11/5)*60+MIN(MAX(J11/D11,0),0.6)*40,0)</f>
        <v/>
      </c>
      <c r="L11" s="33" t="inlineStr">
        <is>
          <t>Sample product; compare size, adjustability, and materials.</t>
        </is>
      </c>
    </row>
    <row r="12"/>
    <row r="13" ht="22" customHeight="1">
      <c r="A13" s="33" t="inlineStr">
        <is>
          <t>Scoring note:</t>
        </is>
      </c>
      <c r="B13" s="33" t="inlineStr">
        <is>
          <t>The score is a simple illustrative formula combining rating and estimated gross margin; it is not a market-demand forecast.</t>
        </is>
      </c>
      <c r="C13" s="33" t="n"/>
      <c r="D13" s="34" t="n"/>
      <c r="E13" s="34" t="n"/>
      <c r="F13" s="35" t="n"/>
      <c r="G13" s="36" t="n"/>
      <c r="H13" s="37" t="n"/>
      <c r="I13" s="34" t="n"/>
      <c r="J13" s="34" t="n"/>
      <c r="K13" s="37" t="n"/>
      <c r="L13" s="33" t="n"/>
    </row>
  </sheetData>
  <autoFilter ref="A3:L11"/>
  <mergeCells count="3">
    <mergeCell ref="A2:H2"/>
    <mergeCell ref="B13:L13"/>
    <mergeCell ref="A1:H1"/>
  </mergeCells>
  <conditionalFormatting sqref="K4:K11">
    <cfRule type="cellIs" priority="1" operator="greaterThanOrEqual" dxfId="0">
      <formula>75</formula>
    </cfRule>
    <cfRule type="cellIs" priority="2" operator="lessThan" dxfId="1">
      <formula>55</formula>
    </cfRule>
  </conditionalFormatting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L11"/>
  <sheetViews>
    <sheetView showGridLines="1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2" customWidth="1" min="2" max="2"/>
    <col width="19" customWidth="1" min="3" max="3"/>
    <col width="25" customWidth="1" min="4" max="4"/>
    <col width="20" customWidth="1" min="5" max="5"/>
    <col width="19" customWidth="1" min="6" max="6"/>
    <col width="22" customWidth="1" min="7" max="7"/>
    <col width="29" customWidth="1" min="8" max="8"/>
    <col width="19" customWidth="1" min="9" max="9"/>
    <col width="13" customWidth="1" min="10" max="10"/>
    <col width="55" customWidth="1" min="11" max="11"/>
    <col width="18" customWidth="1" min="12" max="12"/>
  </cols>
  <sheetData>
    <row r="1" ht="36" customHeight="1">
      <c r="A1" s="20" t="inlineStr">
        <is>
          <t>PROJECT 2 | PRODUCT LISTING QUALITY AUDIT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 ht="24" customHeight="1">
      <c r="A2" s="21" t="inlineStr">
        <is>
          <t>A practical checklist for identifying missing or weak product listing information.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</row>
    <row r="3" ht="28" customHeight="1">
      <c r="A3" s="27" t="inlineStr">
        <is>
          <t>SKU</t>
        </is>
      </c>
      <c r="B3" s="27" t="inlineStr">
        <is>
          <t>Product Name</t>
        </is>
      </c>
      <c r="C3" s="27" t="inlineStr">
        <is>
          <t>Title Present?</t>
        </is>
      </c>
      <c r="D3" s="27" t="inlineStr">
        <is>
          <t>Description Present?</t>
        </is>
      </c>
      <c r="E3" s="27" t="inlineStr">
        <is>
          <t>Images Checked?</t>
        </is>
      </c>
      <c r="F3" s="27" t="inlineStr">
        <is>
          <t>Price Checked?</t>
        </is>
      </c>
      <c r="G3" s="27" t="inlineStr">
        <is>
          <t>Category Correct?</t>
        </is>
      </c>
      <c r="H3" s="27" t="inlineStr">
        <is>
          <t>Key Attributes Complete?</t>
        </is>
      </c>
      <c r="I3" s="27" t="inlineStr">
        <is>
          <t>Listing Status</t>
        </is>
      </c>
      <c r="J3" s="27" t="inlineStr">
        <is>
          <t>Priority</t>
        </is>
      </c>
      <c r="K3" s="27" t="inlineStr">
        <is>
          <t>Recommended Action</t>
        </is>
      </c>
      <c r="L3" s="27" t="inlineStr">
        <is>
          <t>Owner/Notes</t>
        </is>
      </c>
    </row>
    <row r="4" ht="22" customHeight="1">
      <c r="A4" s="38" t="inlineStr">
        <is>
          <t>DSK-001</t>
        </is>
      </c>
      <c r="B4" s="28" t="inlineStr">
        <is>
          <t>Adjustable Laptop Stand</t>
        </is>
      </c>
      <c r="C4" s="39" t="inlineStr">
        <is>
          <t>Yes</t>
        </is>
      </c>
      <c r="D4" s="39" t="inlineStr">
        <is>
          <t>Yes</t>
        </is>
      </c>
      <c r="E4" s="39" t="inlineStr">
        <is>
          <t>Yes</t>
        </is>
      </c>
      <c r="F4" s="40" t="inlineStr">
        <is>
          <t>Yes</t>
        </is>
      </c>
      <c r="G4" s="39" t="inlineStr">
        <is>
          <t>Yes</t>
        </is>
      </c>
      <c r="H4" s="39" t="inlineStr">
        <is>
          <t>Yes</t>
        </is>
      </c>
      <c r="I4" s="38">
        <f>IF(COUNTIF(C4:H4,"No")&gt;=3,"Needs Major Update",IF(COUNTIF(C4:H4,"No")&gt;=1,"Needs Review","Ready for QA"))</f>
        <v/>
      </c>
      <c r="J4" s="41" t="inlineStr">
        <is>
          <t>Low</t>
        </is>
      </c>
      <c r="K4" s="28" t="inlineStr">
        <is>
          <t>Maintain listing; schedule periodic price and stock checks.</t>
        </is>
      </c>
      <c r="L4" s="28" t="inlineStr">
        <is>
          <t>Sample record</t>
        </is>
      </c>
    </row>
    <row r="5" ht="22" customHeight="1">
      <c r="A5" s="42" t="inlineStr">
        <is>
          <t>DSK-002</t>
        </is>
      </c>
      <c r="B5" s="33" t="inlineStr">
        <is>
          <t>Under-Desk Headphone Hanger</t>
        </is>
      </c>
      <c r="C5" s="39" t="inlineStr">
        <is>
          <t>Yes</t>
        </is>
      </c>
      <c r="D5" s="39" t="inlineStr">
        <is>
          <t>Yes</t>
        </is>
      </c>
      <c r="E5" s="43" t="inlineStr">
        <is>
          <t>No</t>
        </is>
      </c>
      <c r="F5" s="40" t="inlineStr">
        <is>
          <t>Yes</t>
        </is>
      </c>
      <c r="G5" s="39" t="inlineStr">
        <is>
          <t>Yes</t>
        </is>
      </c>
      <c r="H5" s="43" t="inlineStr">
        <is>
          <t>No</t>
        </is>
      </c>
      <c r="I5" s="42">
        <f>IF(COUNTIF(C5:H5,"No")&gt;=3,"Needs Major Update",IF(COUNTIF(C5:H5,"No")&gt;=1,"Needs Review","Ready for QA"))</f>
        <v/>
      </c>
      <c r="J5" s="43" t="inlineStr">
        <is>
          <t>High</t>
        </is>
      </c>
      <c r="K5" s="33" t="inlineStr">
        <is>
          <t>Review image set and fill missing compatibility/material details.</t>
        </is>
      </c>
      <c r="L5" s="33" t="inlineStr">
        <is>
          <t>Sample record</t>
        </is>
      </c>
    </row>
    <row r="6" ht="22" customHeight="1">
      <c r="A6" s="38" t="inlineStr">
        <is>
          <t>ORG-003</t>
        </is>
      </c>
      <c r="B6" s="28" t="inlineStr">
        <is>
          <t>Cable Management Tray</t>
        </is>
      </c>
      <c r="C6" s="39" t="inlineStr">
        <is>
          <t>Yes</t>
        </is>
      </c>
      <c r="D6" s="43" t="inlineStr">
        <is>
          <t>No</t>
        </is>
      </c>
      <c r="E6" s="39" t="inlineStr">
        <is>
          <t>Yes</t>
        </is>
      </c>
      <c r="F6" s="44" t="inlineStr">
        <is>
          <t>No</t>
        </is>
      </c>
      <c r="G6" s="39" t="inlineStr">
        <is>
          <t>Yes</t>
        </is>
      </c>
      <c r="H6" s="43" t="inlineStr">
        <is>
          <t>No</t>
        </is>
      </c>
      <c r="I6" s="38">
        <f>IF(COUNTIF(C6:H6,"No")&gt;=3,"Needs Major Update",IF(COUNTIF(C6:H6,"No")&gt;=1,"Needs Review","Ready for QA"))</f>
        <v/>
      </c>
      <c r="J6" s="43" t="inlineStr">
        <is>
          <t>High</t>
        </is>
      </c>
      <c r="K6" s="28" t="inlineStr">
        <is>
          <t>Update description, verify current price, complete dimensions/material.</t>
        </is>
      </c>
      <c r="L6" s="28" t="inlineStr">
        <is>
          <t>Sample record</t>
        </is>
      </c>
    </row>
    <row r="7" ht="22" customHeight="1">
      <c r="A7" s="42" t="inlineStr">
        <is>
          <t>LGT-004</t>
        </is>
      </c>
      <c r="B7" s="33" t="inlineStr">
        <is>
          <t>Portable LED Desk Lamp</t>
        </is>
      </c>
      <c r="C7" s="39" t="inlineStr">
        <is>
          <t>Yes</t>
        </is>
      </c>
      <c r="D7" s="39" t="inlineStr">
        <is>
          <t>Yes</t>
        </is>
      </c>
      <c r="E7" s="39" t="inlineStr">
        <is>
          <t>Yes</t>
        </is>
      </c>
      <c r="F7" s="40" t="inlineStr">
        <is>
          <t>Yes</t>
        </is>
      </c>
      <c r="G7" s="43" t="inlineStr">
        <is>
          <t>No</t>
        </is>
      </c>
      <c r="H7" s="39" t="inlineStr">
        <is>
          <t>Yes</t>
        </is>
      </c>
      <c r="I7" s="42">
        <f>IF(COUNTIF(C7:H7,"No")&gt;=3,"Needs Major Update",IF(COUNTIF(C7:H7,"No")&gt;=1,"Needs Review","Ready for QA"))</f>
        <v/>
      </c>
      <c r="J7" s="45" t="inlineStr">
        <is>
          <t>Medium</t>
        </is>
      </c>
      <c r="K7" s="33" t="inlineStr">
        <is>
          <t>Confirm the category matches the store taxonomy.</t>
        </is>
      </c>
      <c r="L7" s="33" t="inlineStr">
        <is>
          <t>Sample record</t>
        </is>
      </c>
    </row>
    <row r="8" ht="22" customHeight="1">
      <c r="A8" s="38" t="inlineStr">
        <is>
          <t>DSK-005</t>
        </is>
      </c>
      <c r="B8" s="28" t="inlineStr">
        <is>
          <t>Foldable Laptop Riser</t>
        </is>
      </c>
      <c r="C8" s="43" t="inlineStr">
        <is>
          <t>No</t>
        </is>
      </c>
      <c r="D8" s="39" t="inlineStr">
        <is>
          <t>Yes</t>
        </is>
      </c>
      <c r="E8" s="39" t="inlineStr">
        <is>
          <t>Yes</t>
        </is>
      </c>
      <c r="F8" s="40" t="inlineStr">
        <is>
          <t>Yes</t>
        </is>
      </c>
      <c r="G8" s="39" t="inlineStr">
        <is>
          <t>Yes</t>
        </is>
      </c>
      <c r="H8" s="43" t="inlineStr">
        <is>
          <t>No</t>
        </is>
      </c>
      <c r="I8" s="38">
        <f>IF(COUNTIF(C8:H8,"No")&gt;=3,"Needs Major Update",IF(COUNTIF(C8:H8,"No")&gt;=1,"Needs Review","Ready for QA"))</f>
        <v/>
      </c>
      <c r="J8" s="43" t="inlineStr">
        <is>
          <t>High</t>
        </is>
      </c>
      <c r="K8" s="28" t="inlineStr">
        <is>
          <t>Write a clear title and complete the missing product attributes.</t>
        </is>
      </c>
      <c r="L8" s="28" t="inlineStr">
        <is>
          <t>Sample record</t>
        </is>
      </c>
    </row>
    <row r="9" ht="22" customHeight="1">
      <c r="A9" s="42" t="inlineStr">
        <is>
          <t>ORG-006</t>
        </is>
      </c>
      <c r="B9" s="33" t="inlineStr">
        <is>
          <t>Minimalist Desk Organizer</t>
        </is>
      </c>
      <c r="C9" s="39" t="inlineStr">
        <is>
          <t>Yes</t>
        </is>
      </c>
      <c r="D9" s="39" t="inlineStr">
        <is>
          <t>Yes</t>
        </is>
      </c>
      <c r="E9" s="39" t="inlineStr">
        <is>
          <t>Yes</t>
        </is>
      </c>
      <c r="F9" s="44" t="inlineStr">
        <is>
          <t>No</t>
        </is>
      </c>
      <c r="G9" s="39" t="inlineStr">
        <is>
          <t>Yes</t>
        </is>
      </c>
      <c r="H9" s="39" t="inlineStr">
        <is>
          <t>Yes</t>
        </is>
      </c>
      <c r="I9" s="42">
        <f>IF(COUNTIF(C9:H9,"No")&gt;=3,"Needs Major Update",IF(COUNTIF(C9:H9,"No")&gt;=1,"Needs Review","Ready for QA"))</f>
        <v/>
      </c>
      <c r="J9" s="45" t="inlineStr">
        <is>
          <t>Medium</t>
        </is>
      </c>
      <c r="K9" s="33" t="inlineStr">
        <is>
          <t>Verify price against approved source before publishing.</t>
        </is>
      </c>
      <c r="L9" s="33" t="inlineStr">
        <is>
          <t>Sample record</t>
        </is>
      </c>
    </row>
    <row r="10" ht="22" customHeight="1">
      <c r="A10" s="38" t="inlineStr">
        <is>
          <t>TEC-007</t>
        </is>
      </c>
      <c r="B10" s="28" t="inlineStr">
        <is>
          <t>USB-C Hub Adapter</t>
        </is>
      </c>
      <c r="C10" s="39" t="inlineStr">
        <is>
          <t>Yes</t>
        </is>
      </c>
      <c r="D10" s="39" t="inlineStr">
        <is>
          <t>Yes</t>
        </is>
      </c>
      <c r="E10" s="43" t="inlineStr">
        <is>
          <t>No</t>
        </is>
      </c>
      <c r="F10" s="40" t="inlineStr">
        <is>
          <t>Yes</t>
        </is>
      </c>
      <c r="G10" s="39" t="inlineStr">
        <is>
          <t>Yes</t>
        </is>
      </c>
      <c r="H10" s="43" t="inlineStr">
        <is>
          <t>No</t>
        </is>
      </c>
      <c r="I10" s="38">
        <f>IF(COUNTIF(C10:H10,"No")&gt;=3,"Needs Major Update",IF(COUNTIF(C10:H10,"No")&gt;=1,"Needs Review","Ready for QA"))</f>
        <v/>
      </c>
      <c r="J10" s="43" t="inlineStr">
        <is>
          <t>High</t>
        </is>
      </c>
      <c r="K10" s="28" t="inlineStr">
        <is>
          <t>Check image quality and list compatible devices/ports accurately.</t>
        </is>
      </c>
      <c r="L10" s="28" t="inlineStr">
        <is>
          <t>Sample record</t>
        </is>
      </c>
    </row>
    <row r="11" ht="22" customHeight="1">
      <c r="A11" s="42" t="inlineStr">
        <is>
          <t>COM-008</t>
        </is>
      </c>
      <c r="B11" s="33" t="inlineStr">
        <is>
          <t>Ergonomic Footrest</t>
        </is>
      </c>
      <c r="C11" s="39" t="inlineStr">
        <is>
          <t>Yes</t>
        </is>
      </c>
      <c r="D11" s="39" t="inlineStr">
        <is>
          <t>Yes</t>
        </is>
      </c>
      <c r="E11" s="39" t="inlineStr">
        <is>
          <t>Yes</t>
        </is>
      </c>
      <c r="F11" s="40" t="inlineStr">
        <is>
          <t>Yes</t>
        </is>
      </c>
      <c r="G11" s="39" t="inlineStr">
        <is>
          <t>Yes</t>
        </is>
      </c>
      <c r="H11" s="39" t="inlineStr">
        <is>
          <t>Yes</t>
        </is>
      </c>
      <c r="I11" s="42">
        <f>IF(COUNTIF(C11:H11,"No")&gt;=3,"Needs Major Update",IF(COUNTIF(C11:H11,"No")&gt;=1,"Needs Review","Ready for QA"))</f>
        <v/>
      </c>
      <c r="J11" s="41" t="inlineStr">
        <is>
          <t>Low</t>
        </is>
      </c>
      <c r="K11" s="33" t="inlineStr">
        <is>
          <t>Maintain listing; confirm claims are supported by product specs.</t>
        </is>
      </c>
      <c r="L11" s="33" t="inlineStr">
        <is>
          <t>Sample record</t>
        </is>
      </c>
    </row>
  </sheetData>
  <autoFilter ref="A3:L11"/>
  <mergeCells count="2">
    <mergeCell ref="A2:H2"/>
    <mergeCell ref="A1:H1"/>
  </mergeCells>
  <conditionalFormatting sqref="I4:I100">
    <cfRule type="expression" priority="1" dxfId="2">
      <formula>ISNUMBER(SEARCH("Major",I4))</formula>
    </cfRule>
    <cfRule type="expression" priority="2" dxfId="1">
      <formula>ISNUMBER(SEARCH("Review",I4))</formula>
    </cfRule>
    <cfRule type="expression" priority="3" dxfId="0">
      <formula>ISNUMBER(SEARCH("Ready",I4))</formula>
    </cfRule>
  </conditionalFormatting>
  <dataValidations count="7">
    <dataValidation sqref="C4:C100 D4:D100 E4:E100 F4:F100 G4:G100 H4:H100" showDropDown="0" showInputMessage="0" showErrorMessage="0" allowBlank="0" type="list">
      <formula1>"Yes,No"</formula1>
    </dataValidation>
    <dataValidation sqref="C4:C100 D4:D100 E4:E100 F4:F100 G4:G100 H4:H100" showDropDown="0" showInputMessage="0" showErrorMessage="0" allowBlank="0" type="list">
      <formula1>"Yes,No"</formula1>
    </dataValidation>
    <dataValidation sqref="C4:C100 D4:D100 E4:E100 F4:F100 G4:G100 H4:H100" showDropDown="0" showInputMessage="0" showErrorMessage="0" allowBlank="0" type="list">
      <formula1>"Yes,No"</formula1>
    </dataValidation>
    <dataValidation sqref="C4:C100 D4:D100 E4:E100 F4:F100 G4:G100 H4:H100" showDropDown="0" showInputMessage="0" showErrorMessage="0" allowBlank="0" type="list">
      <formula1>"Yes,No"</formula1>
    </dataValidation>
    <dataValidation sqref="C4:C100 D4:D100 E4:E100 F4:F100 G4:G100 H4:H100" showDropDown="0" showInputMessage="0" showErrorMessage="0" allowBlank="0" type="list">
      <formula1>"Yes,No"</formula1>
    </dataValidation>
    <dataValidation sqref="C4:C100 D4:D100 E4:E100 F4:F100 G4:G100 H4:H100" showDropDown="0" showInputMessage="0" showErrorMessage="0" allowBlank="0" type="list">
      <formula1>"Yes,No"</formula1>
    </dataValidation>
    <dataValidation sqref="J4:J100" showDropDown="0" showInputMessage="0" showErrorMessage="0" allowBlank="0" type="list">
      <formula1>"High,Medium,Low"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 fitToPage="1"/>
  </sheetPr>
  <dimension ref="A1:M13"/>
  <sheetViews>
    <sheetView showGridLines="1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55" customWidth="1" min="2" max="2"/>
    <col width="15" customWidth="1" min="3" max="3"/>
    <col width="18" customWidth="1" min="4" max="4"/>
    <col width="20" customWidth="1" min="5" max="5"/>
    <col width="21" customWidth="1" min="6" max="6"/>
    <col width="17" customWidth="1" min="7" max="7"/>
    <col width="18" customWidth="1" min="8" max="8"/>
    <col width="24" customWidth="1" min="9" max="9"/>
    <col width="17" customWidth="1" min="10" max="10"/>
    <col width="20" customWidth="1" min="11" max="11"/>
    <col width="22" customWidth="1" min="12" max="12"/>
    <col width="21" customWidth="1" min="13" max="13"/>
  </cols>
  <sheetData>
    <row r="1" ht="36" customHeight="1">
      <c r="A1" s="20" t="inlineStr">
        <is>
          <t>PROJECT 3 | INVENTORY &amp; REORDER TRACKER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</row>
    <row r="2" ht="24" customHeight="1">
      <c r="A2" s="21" t="inlineStr">
        <is>
          <t>Change stock, sales, lead time, or safety stock to see reorder alerts and suggested order quantities.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</row>
    <row r="3" ht="28" customHeight="1">
      <c r="A3" s="27" t="inlineStr">
        <is>
          <t>SKU</t>
        </is>
      </c>
      <c r="B3" s="27" t="inlineStr">
        <is>
          <t>Product</t>
        </is>
      </c>
      <c r="C3" s="27" t="inlineStr">
        <is>
          <t>Supplier</t>
        </is>
      </c>
      <c r="D3" s="27" t="inlineStr">
        <is>
          <t>Stock On Hand</t>
        </is>
      </c>
      <c r="E3" s="27" t="inlineStr">
        <is>
          <t>Avg Daily Sales</t>
        </is>
      </c>
      <c r="F3" s="27" t="inlineStr">
        <is>
          <t>Lead Time (Days)</t>
        </is>
      </c>
      <c r="G3" s="27" t="inlineStr">
        <is>
          <t>Safety Stock</t>
        </is>
      </c>
      <c r="H3" s="27" t="inlineStr">
        <is>
          <t>Reorder Point</t>
        </is>
      </c>
      <c r="I3" s="27" t="inlineStr">
        <is>
          <t>Suggested Order Qty</t>
        </is>
      </c>
      <c r="J3" s="27" t="inlineStr">
        <is>
          <t>Stock Status</t>
        </is>
      </c>
      <c r="K3" s="27" t="inlineStr">
        <is>
          <t>Unit Cost (USD)</t>
        </is>
      </c>
      <c r="L3" s="27" t="inlineStr">
        <is>
          <t>Stock Value (USD)</t>
        </is>
      </c>
      <c r="M3" s="27" t="inlineStr">
        <is>
          <t>Notes</t>
        </is>
      </c>
    </row>
    <row r="4" ht="22" customHeight="1">
      <c r="A4" s="38" t="inlineStr">
        <is>
          <t>DSK-001</t>
        </is>
      </c>
      <c r="B4" s="28" t="inlineStr">
        <is>
          <t>Adjustable Laptop Stand</t>
        </is>
      </c>
      <c r="C4" s="28" t="inlineStr">
        <is>
          <t>Supplier A</t>
        </is>
      </c>
      <c r="D4" s="32" t="n">
        <v>42</v>
      </c>
      <c r="E4" s="28" t="n">
        <v>3.2</v>
      </c>
      <c r="F4" s="32" t="n">
        <v>7</v>
      </c>
      <c r="G4" s="32" t="n">
        <v>10</v>
      </c>
      <c r="H4" s="32">
        <f>ROUND(E4*F4+G4,0)</f>
        <v/>
      </c>
      <c r="I4" s="32">
        <f>MAX(0,ROUNDUP(H4-D4+E4*14,0))</f>
        <v/>
      </c>
      <c r="J4" s="38">
        <f>IF(D4&lt;=H4,"REORDER","In Stock")</f>
        <v/>
      </c>
      <c r="K4" s="29" t="n">
        <v>12</v>
      </c>
      <c r="L4" s="29">
        <f>D4*K4</f>
        <v/>
      </c>
      <c r="M4" s="28" t="inlineStr">
        <is>
          <t>Fictional sample</t>
        </is>
      </c>
    </row>
    <row r="5" ht="22" customHeight="1">
      <c r="A5" s="42" t="inlineStr">
        <is>
          <t>DSK-002</t>
        </is>
      </c>
      <c r="B5" s="33" t="inlineStr">
        <is>
          <t>Under-Desk Headphone Hanger</t>
        </is>
      </c>
      <c r="C5" s="33" t="inlineStr">
        <is>
          <t>Supplier B</t>
        </is>
      </c>
      <c r="D5" s="37" t="n">
        <v>18</v>
      </c>
      <c r="E5" s="33" t="n">
        <v>4</v>
      </c>
      <c r="F5" s="37" t="n">
        <v>5</v>
      </c>
      <c r="G5" s="37" t="n">
        <v>8</v>
      </c>
      <c r="H5" s="37">
        <f>ROUND(E5*F5+G5,0)</f>
        <v/>
      </c>
      <c r="I5" s="37">
        <f>MAX(0,ROUNDUP(H5-D5+E5*14,0))</f>
        <v/>
      </c>
      <c r="J5" s="42">
        <f>IF(D5&lt;=H5,"REORDER","In Stock")</f>
        <v/>
      </c>
      <c r="K5" s="34" t="n">
        <v>5.5</v>
      </c>
      <c r="L5" s="34">
        <f>D5*K5</f>
        <v/>
      </c>
      <c r="M5" s="33" t="inlineStr">
        <is>
          <t>Fictional sample</t>
        </is>
      </c>
    </row>
    <row r="6" ht="22" customHeight="1">
      <c r="A6" s="38" t="inlineStr">
        <is>
          <t>ORG-003</t>
        </is>
      </c>
      <c r="B6" s="28" t="inlineStr">
        <is>
          <t>Cable Management Tray</t>
        </is>
      </c>
      <c r="C6" s="28" t="inlineStr">
        <is>
          <t>Supplier C</t>
        </is>
      </c>
      <c r="D6" s="32" t="n">
        <v>9</v>
      </c>
      <c r="E6" s="28" t="n">
        <v>1.8</v>
      </c>
      <c r="F6" s="32" t="n">
        <v>10</v>
      </c>
      <c r="G6" s="32" t="n">
        <v>6</v>
      </c>
      <c r="H6" s="32">
        <f>ROUND(E6*F6+G6,0)</f>
        <v/>
      </c>
      <c r="I6" s="32">
        <f>MAX(0,ROUNDUP(H6-D6+E6*14,0))</f>
        <v/>
      </c>
      <c r="J6" s="38">
        <f>IF(D6&lt;=H6,"REORDER","In Stock")</f>
        <v/>
      </c>
      <c r="K6" s="29" t="n">
        <v>8.25</v>
      </c>
      <c r="L6" s="29">
        <f>D6*K6</f>
        <v/>
      </c>
      <c r="M6" s="28" t="inlineStr">
        <is>
          <t>Fictional sample</t>
        </is>
      </c>
    </row>
    <row r="7" ht="22" customHeight="1">
      <c r="A7" s="42" t="inlineStr">
        <is>
          <t>LGT-004</t>
        </is>
      </c>
      <c r="B7" s="33" t="inlineStr">
        <is>
          <t>Portable LED Desk Lamp</t>
        </is>
      </c>
      <c r="C7" s="33" t="inlineStr">
        <is>
          <t>Supplier A</t>
        </is>
      </c>
      <c r="D7" s="37" t="n">
        <v>30</v>
      </c>
      <c r="E7" s="33" t="n">
        <v>2.4</v>
      </c>
      <c r="F7" s="37" t="n">
        <v>8</v>
      </c>
      <c r="G7" s="37" t="n">
        <v>8</v>
      </c>
      <c r="H7" s="37">
        <f>ROUND(E7*F7+G7,0)</f>
        <v/>
      </c>
      <c r="I7" s="37">
        <f>MAX(0,ROUNDUP(H7-D7+E7*14,0))</f>
        <v/>
      </c>
      <c r="J7" s="42">
        <f>IF(D7&lt;=H7,"REORDER","In Stock")</f>
        <v/>
      </c>
      <c r="K7" s="34" t="n">
        <v>10</v>
      </c>
      <c r="L7" s="34">
        <f>D7*K7</f>
        <v/>
      </c>
      <c r="M7" s="33" t="inlineStr">
        <is>
          <t>Fictional sample</t>
        </is>
      </c>
    </row>
    <row r="8" ht="22" customHeight="1">
      <c r="A8" s="38" t="inlineStr">
        <is>
          <t>DSK-005</t>
        </is>
      </c>
      <c r="B8" s="28" t="inlineStr">
        <is>
          <t>Foldable Laptop Riser</t>
        </is>
      </c>
      <c r="C8" s="28" t="inlineStr">
        <is>
          <t>Supplier B</t>
        </is>
      </c>
      <c r="D8" s="32" t="n">
        <v>7</v>
      </c>
      <c r="E8" s="28" t="n">
        <v>1.6</v>
      </c>
      <c r="F8" s="32" t="n">
        <v>6</v>
      </c>
      <c r="G8" s="32" t="n">
        <v>5</v>
      </c>
      <c r="H8" s="32">
        <f>ROUND(E8*F8+G8,0)</f>
        <v/>
      </c>
      <c r="I8" s="32">
        <f>MAX(0,ROUNDUP(H8-D8+E8*14,0))</f>
        <v/>
      </c>
      <c r="J8" s="38">
        <f>IF(D8&lt;=H8,"REORDER","In Stock")</f>
        <v/>
      </c>
      <c r="K8" s="29" t="n">
        <v>7</v>
      </c>
      <c r="L8" s="29">
        <f>D8*K8</f>
        <v/>
      </c>
      <c r="M8" s="28" t="inlineStr">
        <is>
          <t>Fictional sample</t>
        </is>
      </c>
    </row>
    <row r="9" ht="22" customHeight="1">
      <c r="A9" s="42" t="inlineStr">
        <is>
          <t>ORG-006</t>
        </is>
      </c>
      <c r="B9" s="33" t="inlineStr">
        <is>
          <t>Minimalist Desk Organizer</t>
        </is>
      </c>
      <c r="C9" s="33" t="inlineStr">
        <is>
          <t>Supplier C</t>
        </is>
      </c>
      <c r="D9" s="37" t="n">
        <v>25</v>
      </c>
      <c r="E9" s="33" t="n">
        <v>2</v>
      </c>
      <c r="F9" s="37" t="n">
        <v>9</v>
      </c>
      <c r="G9" s="37" t="n">
        <v>7</v>
      </c>
      <c r="H9" s="37">
        <f>ROUND(E9*F9+G9,0)</f>
        <v/>
      </c>
      <c r="I9" s="37">
        <f>MAX(0,ROUNDUP(H9-D9+E9*14,0))</f>
        <v/>
      </c>
      <c r="J9" s="42">
        <f>IF(D9&lt;=H9,"REORDER","In Stock")</f>
        <v/>
      </c>
      <c r="K9" s="34" t="n">
        <v>4.5</v>
      </c>
      <c r="L9" s="34">
        <f>D9*K9</f>
        <v/>
      </c>
      <c r="M9" s="33" t="inlineStr">
        <is>
          <t>Fictional sample</t>
        </is>
      </c>
    </row>
    <row r="10" ht="22" customHeight="1">
      <c r="A10" s="38" t="inlineStr">
        <is>
          <t>TEC-007</t>
        </is>
      </c>
      <c r="B10" s="28" t="inlineStr">
        <is>
          <t>USB-C Hub Adapter</t>
        </is>
      </c>
      <c r="C10" s="28" t="inlineStr">
        <is>
          <t>Supplier D</t>
        </is>
      </c>
      <c r="D10" s="32" t="n">
        <v>12</v>
      </c>
      <c r="E10" s="28" t="n">
        <v>1.5</v>
      </c>
      <c r="F10" s="32" t="n">
        <v>12</v>
      </c>
      <c r="G10" s="32" t="n">
        <v>8</v>
      </c>
      <c r="H10" s="32">
        <f>ROUND(E10*F10+G10,0)</f>
        <v/>
      </c>
      <c r="I10" s="32">
        <f>MAX(0,ROUNDUP(H10-D10+E10*14,0))</f>
        <v/>
      </c>
      <c r="J10" s="38">
        <f>IF(D10&lt;=H10,"REORDER","In Stock")</f>
        <v/>
      </c>
      <c r="K10" s="29" t="n">
        <v>18</v>
      </c>
      <c r="L10" s="29">
        <f>D10*K10</f>
        <v/>
      </c>
      <c r="M10" s="28" t="inlineStr">
        <is>
          <t>Fictional sample</t>
        </is>
      </c>
    </row>
    <row r="11" ht="22" customHeight="1">
      <c r="A11" s="42" t="inlineStr">
        <is>
          <t>COM-008</t>
        </is>
      </c>
      <c r="B11" s="33" t="inlineStr">
        <is>
          <t>Ergonomic Footrest</t>
        </is>
      </c>
      <c r="C11" s="33" t="inlineStr">
        <is>
          <t>Supplier A</t>
        </is>
      </c>
      <c r="D11" s="37" t="n">
        <v>16</v>
      </c>
      <c r="E11" s="33" t="n">
        <v>1.1</v>
      </c>
      <c r="F11" s="37" t="n">
        <v>10</v>
      </c>
      <c r="G11" s="37" t="n">
        <v>5</v>
      </c>
      <c r="H11" s="37">
        <f>ROUND(E11*F11+G11,0)</f>
        <v/>
      </c>
      <c r="I11" s="37">
        <f>MAX(0,ROUNDUP(H11-D11+E11*14,0))</f>
        <v/>
      </c>
      <c r="J11" s="42">
        <f>IF(D11&lt;=H11,"REORDER","In Stock")</f>
        <v/>
      </c>
      <c r="K11" s="34" t="n">
        <v>11.5</v>
      </c>
      <c r="L11" s="34">
        <f>D11*K11</f>
        <v/>
      </c>
      <c r="M11" s="33" t="inlineStr">
        <is>
          <t>Fictional sample</t>
        </is>
      </c>
    </row>
    <row r="12"/>
    <row r="13" ht="22" customHeight="1">
      <c r="A13" s="42" t="inlineStr">
        <is>
          <t>Formula assumptions:</t>
        </is>
      </c>
      <c r="B13" s="33" t="inlineStr">
        <is>
          <t>Reorder point = average daily sales × lead time + safety stock. Suggested order qty targets about 14 days of additional coverage; adjust this rule to the store's policy.</t>
        </is>
      </c>
      <c r="C13" s="33" t="n"/>
      <c r="D13" s="37" t="n"/>
      <c r="E13" s="33" t="n"/>
      <c r="F13" s="37" t="n"/>
      <c r="G13" s="37" t="n"/>
      <c r="H13" s="37" t="n"/>
      <c r="I13" s="37" t="n"/>
      <c r="J13" s="42" t="n"/>
      <c r="K13" s="34" t="n"/>
      <c r="L13" s="34" t="n"/>
      <c r="M13" s="33" t="n"/>
    </row>
  </sheetData>
  <autoFilter ref="A3:M11"/>
  <mergeCells count="3">
    <mergeCell ref="B13:M13"/>
    <mergeCell ref="A2:H2"/>
    <mergeCell ref="A1:H1"/>
  </mergeCells>
  <conditionalFormatting sqref="J4:J100">
    <cfRule type="expression" priority="1" dxfId="2">
      <formula>J4="REORDER"</formula>
    </cfRule>
    <cfRule type="expression" priority="2" dxfId="0">
      <formula>J4="In Stock"</formula>
    </cfRule>
  </conditionalFormatting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L11"/>
  <sheetViews>
    <sheetView showGridLines="1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5" customWidth="1" min="2" max="2"/>
    <col width="12" customWidth="1" min="3" max="3"/>
    <col width="17" customWidth="1" min="4" max="4"/>
    <col width="12" customWidth="1" min="5" max="5"/>
    <col width="12" customWidth="1" min="6" max="6"/>
    <col width="22" customWidth="1" min="7" max="7"/>
    <col width="19" customWidth="1" min="8" max="8"/>
    <col width="23" customWidth="1" min="9" max="9"/>
    <col width="21" customWidth="1" min="10" max="10"/>
    <col width="19" customWidth="1" min="11" max="11"/>
    <col width="47" customWidth="1" min="12" max="12"/>
  </cols>
  <sheetData>
    <row r="1" ht="36" customHeight="1">
      <c r="A1" s="20" t="inlineStr">
        <is>
          <t>PROJECT 4 | ORDER OPERATIONS TRACKER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 ht="24" customHeight="1">
      <c r="A2" s="21" t="inlineStr">
        <is>
          <t>Sample order queue for tracking payment, fulfillment, and follow-up needs.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</row>
    <row r="3" ht="28" customHeight="1">
      <c r="A3" s="27" t="inlineStr">
        <is>
          <t>Order ID</t>
        </is>
      </c>
      <c r="B3" s="27" t="inlineStr">
        <is>
          <t>Order Date</t>
        </is>
      </c>
      <c r="C3" s="27" t="inlineStr">
        <is>
          <t>Channel</t>
        </is>
      </c>
      <c r="D3" s="27" t="inlineStr">
        <is>
          <t>Customer Ref</t>
        </is>
      </c>
      <c r="E3" s="27" t="inlineStr">
        <is>
          <t>SKU</t>
        </is>
      </c>
      <c r="F3" s="27" t="inlineStr">
        <is>
          <t>Qty</t>
        </is>
      </c>
      <c r="G3" s="27" t="inlineStr">
        <is>
          <t>Order Value (USD)</t>
        </is>
      </c>
      <c r="H3" s="27" t="inlineStr">
        <is>
          <t>Payment Status</t>
        </is>
      </c>
      <c r="I3" s="27" t="inlineStr">
        <is>
          <t>Fulfillment Status</t>
        </is>
      </c>
      <c r="J3" s="27" t="inlineStr">
        <is>
          <t>Days Since Order</t>
        </is>
      </c>
      <c r="K3" s="27" t="inlineStr">
        <is>
          <t>Follow-up Flag</t>
        </is>
      </c>
      <c r="L3" s="27" t="inlineStr">
        <is>
          <t>Issue / Next Action</t>
        </is>
      </c>
    </row>
    <row r="4" ht="22" customHeight="1">
      <c r="A4" s="38" t="inlineStr">
        <is>
          <t>ORD-1001</t>
        </is>
      </c>
      <c r="B4" s="46" t="inlineStr">
        <is>
          <t>2026-10-02</t>
        </is>
      </c>
      <c r="C4" s="38" t="inlineStr">
        <is>
          <t>Website</t>
        </is>
      </c>
      <c r="D4" s="28" t="inlineStr">
        <is>
          <t>Customer A</t>
        </is>
      </c>
      <c r="E4" s="38" t="inlineStr">
        <is>
          <t>DSK-001</t>
        </is>
      </c>
      <c r="F4" s="32" t="n">
        <v>1</v>
      </c>
      <c r="G4" s="29" t="n">
        <v>29.99</v>
      </c>
      <c r="H4" s="39" t="inlineStr">
        <is>
          <t>Paid</t>
        </is>
      </c>
      <c r="I4" s="47" t="inlineStr">
        <is>
          <t>Shipped</t>
        </is>
      </c>
      <c r="J4" s="32">
        <f>DATE(2026,10,14)-DATEVALUE(B4)</f>
        <v/>
      </c>
      <c r="K4" s="38">
        <f>IF(OR(H4="Pending",I4="On Hold",AND(I4="Processing",J4&gt;=2)),"FOLLOW UP","No immediate action")</f>
        <v/>
      </c>
      <c r="L4" s="28" t="inlineStr">
        <is>
          <t>Send tracking update if needed.</t>
        </is>
      </c>
    </row>
    <row r="5" ht="22" customHeight="1">
      <c r="A5" s="42" t="inlineStr">
        <is>
          <t>ORD-1002</t>
        </is>
      </c>
      <c r="B5" s="48" t="inlineStr">
        <is>
          <t>2026-10-03</t>
        </is>
      </c>
      <c r="C5" s="42" t="inlineStr">
        <is>
          <t>Amazon</t>
        </is>
      </c>
      <c r="D5" s="33" t="inlineStr">
        <is>
          <t>Customer B</t>
        </is>
      </c>
      <c r="E5" s="42" t="inlineStr">
        <is>
          <t>DSK-002</t>
        </is>
      </c>
      <c r="F5" s="37" t="n">
        <v>2</v>
      </c>
      <c r="G5" s="34" t="n">
        <v>33.98</v>
      </c>
      <c r="H5" s="39" t="inlineStr">
        <is>
          <t>Paid</t>
        </is>
      </c>
      <c r="I5" s="45" t="inlineStr">
        <is>
          <t>Processing</t>
        </is>
      </c>
      <c r="J5" s="37">
        <f>DATE(2026,10,14)-DATEVALUE(B5)</f>
        <v/>
      </c>
      <c r="K5" s="42">
        <f>IF(OR(H5="Pending",I5="On Hold",AND(I5="Processing",J5&gt;=2)),"FOLLOW UP","No immediate action")</f>
        <v/>
      </c>
      <c r="L5" s="33" t="inlineStr">
        <is>
          <t>Check fulfillment queue.</t>
        </is>
      </c>
    </row>
    <row r="6" ht="22" customHeight="1">
      <c r="A6" s="38" t="inlineStr">
        <is>
          <t>ORD-1003</t>
        </is>
      </c>
      <c r="B6" s="46" t="inlineStr">
        <is>
          <t>2026-10-04</t>
        </is>
      </c>
      <c r="C6" s="38" t="inlineStr">
        <is>
          <t>Shopee</t>
        </is>
      </c>
      <c r="D6" s="28" t="inlineStr">
        <is>
          <t>Customer C</t>
        </is>
      </c>
      <c r="E6" s="38" t="inlineStr">
        <is>
          <t>ORG-003</t>
        </is>
      </c>
      <c r="F6" s="32" t="n">
        <v>1</v>
      </c>
      <c r="G6" s="29" t="n">
        <v>22.5</v>
      </c>
      <c r="H6" s="45" t="inlineStr">
        <is>
          <t>Pending</t>
        </is>
      </c>
      <c r="I6" s="45" t="inlineStr">
        <is>
          <t>On Hold</t>
        </is>
      </c>
      <c r="J6" s="32">
        <f>DATE(2026,10,14)-DATEVALUE(B6)</f>
        <v/>
      </c>
      <c r="K6" s="38">
        <f>IF(OR(H6="Pending",I6="On Hold",AND(I6="Processing",J6&gt;=2)),"FOLLOW UP","No immediate action")</f>
        <v/>
      </c>
      <c r="L6" s="28" t="inlineStr">
        <is>
          <t>Confirm payment before processing.</t>
        </is>
      </c>
    </row>
    <row r="7" ht="22" customHeight="1">
      <c r="A7" s="42" t="inlineStr">
        <is>
          <t>ORD-1004</t>
        </is>
      </c>
      <c r="B7" s="48" t="inlineStr">
        <is>
          <t>2026-10-05</t>
        </is>
      </c>
      <c r="C7" s="42" t="inlineStr">
        <is>
          <t>Lazada</t>
        </is>
      </c>
      <c r="D7" s="33" t="inlineStr">
        <is>
          <t>Customer D</t>
        </is>
      </c>
      <c r="E7" s="42" t="inlineStr">
        <is>
          <t>LGT-004</t>
        </is>
      </c>
      <c r="F7" s="37" t="n">
        <v>1</v>
      </c>
      <c r="G7" s="34" t="n">
        <v>24.99</v>
      </c>
      <c r="H7" s="39" t="inlineStr">
        <is>
          <t>Paid</t>
        </is>
      </c>
      <c r="I7" s="39" t="inlineStr">
        <is>
          <t>Delivered</t>
        </is>
      </c>
      <c r="J7" s="37">
        <f>DATE(2026,10,14)-DATEVALUE(B7)</f>
        <v/>
      </c>
      <c r="K7" s="42">
        <f>IF(OR(H7="Pending",I7="On Hold",AND(I7="Processing",J7&gt;=2)),"FOLLOW UP","No immediate action")</f>
        <v/>
      </c>
      <c r="L7" s="33" t="inlineStr">
        <is>
          <t>No action unless customer raises an issue.</t>
        </is>
      </c>
    </row>
    <row r="8" ht="22" customHeight="1">
      <c r="A8" s="38" t="inlineStr">
        <is>
          <t>ORD-1005</t>
        </is>
      </c>
      <c r="B8" s="46" t="inlineStr">
        <is>
          <t>2026-10-06</t>
        </is>
      </c>
      <c r="C8" s="38" t="inlineStr">
        <is>
          <t>Website</t>
        </is>
      </c>
      <c r="D8" s="28" t="inlineStr">
        <is>
          <t>Customer E</t>
        </is>
      </c>
      <c r="E8" s="38" t="inlineStr">
        <is>
          <t>DSK-005</t>
        </is>
      </c>
      <c r="F8" s="32" t="n">
        <v>3</v>
      </c>
      <c r="G8" s="29" t="n">
        <v>59.97</v>
      </c>
      <c r="H8" s="39" t="inlineStr">
        <is>
          <t>Paid</t>
        </is>
      </c>
      <c r="I8" s="45" t="inlineStr">
        <is>
          <t>Processing</t>
        </is>
      </c>
      <c r="J8" s="32">
        <f>DATE(2026,10,14)-DATEVALUE(B8)</f>
        <v/>
      </c>
      <c r="K8" s="38">
        <f>IF(OR(H8="Pending",I8="On Hold",AND(I8="Processing",J8&gt;=2)),"FOLLOW UP","No immediate action")</f>
        <v/>
      </c>
      <c r="L8" s="28" t="inlineStr">
        <is>
          <t>Confirm stock availability.</t>
        </is>
      </c>
    </row>
    <row r="9" ht="22" customHeight="1">
      <c r="A9" s="42" t="inlineStr">
        <is>
          <t>ORD-1006</t>
        </is>
      </c>
      <c r="B9" s="48" t="inlineStr">
        <is>
          <t>2026-10-07</t>
        </is>
      </c>
      <c r="C9" s="42" t="inlineStr">
        <is>
          <t>Amazon</t>
        </is>
      </c>
      <c r="D9" s="33" t="inlineStr">
        <is>
          <t>Customer F</t>
        </is>
      </c>
      <c r="E9" s="42" t="inlineStr">
        <is>
          <t>TEC-007</t>
        </is>
      </c>
      <c r="F9" s="37" t="n">
        <v>1</v>
      </c>
      <c r="G9" s="34" t="n">
        <v>34.99</v>
      </c>
      <c r="H9" s="42" t="inlineStr">
        <is>
          <t>Refunded</t>
        </is>
      </c>
      <c r="I9" s="42" t="inlineStr">
        <is>
          <t>Cancelled</t>
        </is>
      </c>
      <c r="J9" s="37">
        <f>DATE(2026,10,14)-DATEVALUE(B9)</f>
        <v/>
      </c>
      <c r="K9" s="42">
        <f>IF(OR(H9="Pending",I9="On Hold",AND(I9="Processing",J9&gt;=2)),"FOLLOW UP","No immediate action")</f>
        <v/>
      </c>
      <c r="L9" s="33" t="inlineStr">
        <is>
          <t>Check refund completion record.</t>
        </is>
      </c>
    </row>
    <row r="10" ht="22" customHeight="1">
      <c r="A10" s="38" t="inlineStr">
        <is>
          <t>ORD-1007</t>
        </is>
      </c>
      <c r="B10" s="46" t="inlineStr">
        <is>
          <t>2026-10-08</t>
        </is>
      </c>
      <c r="C10" s="38" t="inlineStr">
        <is>
          <t>Shopee</t>
        </is>
      </c>
      <c r="D10" s="28" t="inlineStr">
        <is>
          <t>Customer G</t>
        </is>
      </c>
      <c r="E10" s="38" t="inlineStr">
        <is>
          <t>COM-008</t>
        </is>
      </c>
      <c r="F10" s="32" t="n">
        <v>2</v>
      </c>
      <c r="G10" s="29" t="n">
        <v>55.98</v>
      </c>
      <c r="H10" s="39" t="inlineStr">
        <is>
          <t>Paid</t>
        </is>
      </c>
      <c r="I10" s="47" t="inlineStr">
        <is>
          <t>Shipped</t>
        </is>
      </c>
      <c r="J10" s="32">
        <f>DATE(2026,10,14)-DATEVALUE(B10)</f>
        <v/>
      </c>
      <c r="K10" s="38">
        <f>IF(OR(H10="Pending",I10="On Hold",AND(I10="Processing",J10&gt;=2)),"FOLLOW UP","No immediate action")</f>
        <v/>
      </c>
      <c r="L10" s="28" t="inlineStr">
        <is>
          <t>Monitor delivery status.</t>
        </is>
      </c>
    </row>
    <row r="11" ht="22" customHeight="1">
      <c r="A11" s="42" t="inlineStr">
        <is>
          <t>ORD-1008</t>
        </is>
      </c>
      <c r="B11" s="48" t="inlineStr">
        <is>
          <t>2026-10-09</t>
        </is>
      </c>
      <c r="C11" s="42" t="inlineStr">
        <is>
          <t>Website</t>
        </is>
      </c>
      <c r="D11" s="33" t="inlineStr">
        <is>
          <t>Customer H</t>
        </is>
      </c>
      <c r="E11" s="42" t="inlineStr">
        <is>
          <t>ORG-006</t>
        </is>
      </c>
      <c r="F11" s="37" t="n">
        <v>1</v>
      </c>
      <c r="G11" s="34" t="n">
        <v>14.99</v>
      </c>
      <c r="H11" s="45" t="inlineStr">
        <is>
          <t>Pending</t>
        </is>
      </c>
      <c r="I11" s="45" t="inlineStr">
        <is>
          <t>Processing</t>
        </is>
      </c>
      <c r="J11" s="37">
        <f>DATE(2026,10,14)-DATEVALUE(B11)</f>
        <v/>
      </c>
      <c r="K11" s="42">
        <f>IF(OR(H11="Pending",I11="On Hold",AND(I11="Processing",J11&gt;=2)),"FOLLOW UP","No immediate action")</f>
        <v/>
      </c>
      <c r="L11" s="33" t="inlineStr">
        <is>
          <t>Resolve payment status before dispatch.</t>
        </is>
      </c>
    </row>
  </sheetData>
  <autoFilter ref="A3:L11"/>
  <mergeCells count="2">
    <mergeCell ref="A2:H2"/>
    <mergeCell ref="A1:H1"/>
  </mergeCells>
  <conditionalFormatting sqref="K4:K100">
    <cfRule type="expression" priority="1" dxfId="1">
      <formula>K4="FOLLOW UP"</formula>
    </cfRule>
  </conditionalFormatting>
  <dataValidations count="2">
    <dataValidation sqref="H4:H100" showDropDown="0" showInputMessage="0" showErrorMessage="0" allowBlank="0" type="list">
      <formula1>"Paid,Pending,Refunded"</formula1>
    </dataValidation>
    <dataValidation sqref="I4:I100" showDropDown="0" showInputMessage="0" showErrorMessage="0" allowBlank="0" type="list">
      <formula1>"Processing,Shipped,Delivered,On Hold,Cancelled"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2026-10-14T08:56:19Z</dcterms:created>
  <dcterms:modified xsi:type="dcterms:W3CDTF">2026-10-16T09:24:18Z</dcterms:modified>
</cp:coreProperties>
</file>