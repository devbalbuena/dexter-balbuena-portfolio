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3730A3"/>
      <sz val="10"/>
    </font>
    <font>
      <name val="Segoe UI"/>
      <b val="1"/>
      <color rgb="001E293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3" fontId="9" fillId="9" borderId="2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21" customWidth="1" min="7" max="7"/>
    <col width="18" customWidth="1" min="8" max="8"/>
    <col width="22" customWidth="1" min="9" max="9"/>
    <col width="23" customWidth="1" min="10" max="10"/>
    <col width="23" customWidth="1" min="11" max="11"/>
    <col width="46" customWidth="1" min="12" max="12"/>
  </cols>
  <sheetData>
    <row r="1" ht="36" customHeight="1">
      <c r="A1" s="1" t="inlineStr">
        <is>
          <t>ORDER OPERATIONS, FULFILLMENT SLA &amp; EXCEPTION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Multi-channel order queue monitoring fulfillment stages, order aging calculations, and conditional SLA escalation triggers.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>
      <c r="A4" s="5" t="inlineStr">
        <is>
          <t>ACTIVE ORDERS</t>
        </is>
      </c>
      <c r="B4" s="6" t="n"/>
      <c r="C4" s="5" t="inlineStr">
        <is>
          <t>TOTAL QUEUE VALUE</t>
        </is>
      </c>
      <c r="D4" s="6" t="n"/>
      <c r="E4" s="6" t="n"/>
      <c r="F4" s="7" t="inlineStr">
        <is>
          <t>ON TRACK / SHIPPED</t>
        </is>
      </c>
      <c r="G4" s="8" t="n"/>
      <c r="H4" s="8" t="n"/>
      <c r="I4" s="9" t="inlineStr">
        <is>
          <t>FOLLOW-UP REQUIRED</t>
        </is>
      </c>
      <c r="J4" s="10" t="n"/>
      <c r="K4" s="10" t="n"/>
      <c r="L4" s="10" t="n"/>
    </row>
    <row r="5">
      <c r="A5" s="11">
        <f>COUNTA(A10:A17)</f>
        <v/>
      </c>
      <c r="B5" s="6" t="n"/>
      <c r="C5" s="12">
        <f>SUM(G10:G17)</f>
        <v/>
      </c>
      <c r="D5" s="6" t="n"/>
      <c r="E5" s="6" t="n"/>
      <c r="F5" s="13">
        <f>COUNTIF(I10:I17,"Shipped")+COUNTIF(I10:I17,"Delivered")</f>
        <v/>
      </c>
      <c r="G5" s="8" t="n"/>
      <c r="H5" s="8" t="n"/>
      <c r="I5" s="14">
        <f>COUNTIF(K10:K17, "FOLLOW UP")</f>
        <v/>
      </c>
      <c r="J5" s="10" t="n"/>
      <c r="K5" s="10" t="n"/>
      <c r="L5" s="10" t="n"/>
    </row>
    <row r="6">
      <c r="A6" s="15" t="inlineStr">
        <is>
          <t>Queue Total</t>
        </is>
      </c>
      <c r="B6" s="6" t="n"/>
      <c r="C6" s="15" t="inlineStr">
        <is>
          <t>Gross Pipeline</t>
        </is>
      </c>
      <c r="D6" s="6" t="n"/>
      <c r="E6" s="6" t="n"/>
      <c r="F6" s="16" t="inlineStr">
        <is>
          <t>Fulfillment On Time</t>
        </is>
      </c>
      <c r="G6" s="8" t="n"/>
      <c r="H6" s="8" t="n"/>
      <c r="I6" s="17" t="inlineStr">
        <is>
          <t>SLA Escalation Alerts</t>
        </is>
      </c>
      <c r="J6" s="10" t="n"/>
      <c r="K6" s="10" t="n"/>
      <c r="L6" s="10" t="n"/>
    </row>
    <row r="7"/>
    <row r="8"/>
    <row r="9" ht="28" customHeight="1">
      <c r="A9" s="18" t="inlineStr">
        <is>
          <t>Order ID</t>
        </is>
      </c>
      <c r="B9" s="18" t="inlineStr">
        <is>
          <t>Order Date</t>
        </is>
      </c>
      <c r="C9" s="18" t="inlineStr">
        <is>
          <t>Channel</t>
        </is>
      </c>
      <c r="D9" s="18" t="inlineStr">
        <is>
          <t>Customer Ref</t>
        </is>
      </c>
      <c r="E9" s="18" t="inlineStr">
        <is>
          <t>SKU</t>
        </is>
      </c>
      <c r="F9" s="18" t="inlineStr">
        <is>
          <t>Qty</t>
        </is>
      </c>
      <c r="G9" s="18" t="inlineStr">
        <is>
          <t>Order Value (USD)</t>
        </is>
      </c>
      <c r="H9" s="18" t="inlineStr">
        <is>
          <t>Payment Status</t>
        </is>
      </c>
      <c r="I9" s="18" t="inlineStr">
        <is>
          <t>Fulfillment Status</t>
        </is>
      </c>
      <c r="J9" s="18" t="inlineStr">
        <is>
          <t>Days Since Order*</t>
        </is>
      </c>
      <c r="K9" s="18" t="inlineStr">
        <is>
          <t>Follow-up Flag</t>
        </is>
      </c>
      <c r="L9" s="18" t="inlineStr">
        <is>
          <t>Issue / Next Action</t>
        </is>
      </c>
    </row>
    <row r="10" ht="22" customHeight="1">
      <c r="A10" s="19" t="inlineStr">
        <is>
          <t>ORD-1001</t>
        </is>
      </c>
      <c r="B10" s="19" t="inlineStr">
        <is>
          <t>2026-10-02</t>
        </is>
      </c>
      <c r="C10" s="19" t="inlineStr">
        <is>
          <t>Website</t>
        </is>
      </c>
      <c r="D10" s="20" t="inlineStr">
        <is>
          <t>Customer A</t>
        </is>
      </c>
      <c r="E10" s="19" t="inlineStr">
        <is>
          <t>DSK-001</t>
        </is>
      </c>
      <c r="F10" s="21" t="n">
        <v>1</v>
      </c>
      <c r="G10" s="22" t="n">
        <v>29.99</v>
      </c>
      <c r="H10" s="23" t="inlineStr">
        <is>
          <t>Paid</t>
        </is>
      </c>
      <c r="I10" s="24" t="inlineStr">
        <is>
          <t>Shipped</t>
        </is>
      </c>
      <c r="J10" s="21">
        <f>DATE(2026,10,16)-DATEVALUE(B10)</f>
        <v/>
      </c>
      <c r="K10" s="25">
        <f>IF(OR(H10="Pending",I10="On Hold",AND(I10="Processing",J10&gt;=2)),"FOLLOW UP","No immediate action")</f>
        <v/>
      </c>
      <c r="L10" s="20" t="inlineStr">
        <is>
          <t>Send tracking update if needed.</t>
        </is>
      </c>
    </row>
    <row r="11" ht="22" customHeight="1">
      <c r="A11" s="26" t="inlineStr">
        <is>
          <t>ORD-1002</t>
        </is>
      </c>
      <c r="B11" s="26" t="inlineStr">
        <is>
          <t>2026-10-03</t>
        </is>
      </c>
      <c r="C11" s="26" t="inlineStr">
        <is>
          <t>Amazon</t>
        </is>
      </c>
      <c r="D11" s="27" t="inlineStr">
        <is>
          <t>Customer B</t>
        </is>
      </c>
      <c r="E11" s="26" t="inlineStr">
        <is>
          <t>DSK-002</t>
        </is>
      </c>
      <c r="F11" s="28" t="n">
        <v>2</v>
      </c>
      <c r="G11" s="29" t="n">
        <v>33.98</v>
      </c>
      <c r="H11" s="23" t="inlineStr">
        <is>
          <t>Paid</t>
        </is>
      </c>
      <c r="I11" s="30" t="inlineStr">
        <is>
          <t>Processing</t>
        </is>
      </c>
      <c r="J11" s="28">
        <f>DATE(2026,10,16)-DATEVALUE(B11)</f>
        <v/>
      </c>
      <c r="K11" s="31">
        <f>IF(OR(H11="Pending",I11="On Hold",AND(I11="Processing",J11&gt;=2)),"FOLLOW UP","No immediate action")</f>
        <v/>
      </c>
      <c r="L11" s="27" t="inlineStr">
        <is>
          <t>Check fulfillment queue.</t>
        </is>
      </c>
    </row>
    <row r="12" ht="22" customHeight="1">
      <c r="A12" s="19" t="inlineStr">
        <is>
          <t>ORD-1003</t>
        </is>
      </c>
      <c r="B12" s="19" t="inlineStr">
        <is>
          <t>2026-10-04</t>
        </is>
      </c>
      <c r="C12" s="19" t="inlineStr">
        <is>
          <t>Shopee</t>
        </is>
      </c>
      <c r="D12" s="20" t="inlineStr">
        <is>
          <t>Customer C</t>
        </is>
      </c>
      <c r="E12" s="19" t="inlineStr">
        <is>
          <t>ORG-003</t>
        </is>
      </c>
      <c r="F12" s="21" t="n">
        <v>1</v>
      </c>
      <c r="G12" s="22" t="n">
        <v>22.5</v>
      </c>
      <c r="H12" s="30" t="inlineStr">
        <is>
          <t>Pending</t>
        </is>
      </c>
      <c r="I12" s="30" t="inlineStr">
        <is>
          <t>On Hold</t>
        </is>
      </c>
      <c r="J12" s="21">
        <f>DATE(2026,10,16)-DATEVALUE(B12)</f>
        <v/>
      </c>
      <c r="K12" s="25">
        <f>IF(OR(H12="Pending",I12="On Hold",AND(I12="Processing",J12&gt;=2)),"FOLLOW UP","No immediate action")</f>
        <v/>
      </c>
      <c r="L12" s="20" t="inlineStr">
        <is>
          <t>Confirm payment before processing.</t>
        </is>
      </c>
    </row>
    <row r="13" ht="22" customHeight="1">
      <c r="A13" s="26" t="inlineStr">
        <is>
          <t>ORD-1004</t>
        </is>
      </c>
      <c r="B13" s="26" t="inlineStr">
        <is>
          <t>2026-10-05</t>
        </is>
      </c>
      <c r="C13" s="26" t="inlineStr">
        <is>
          <t>Lazada</t>
        </is>
      </c>
      <c r="D13" s="27" t="inlineStr">
        <is>
          <t>Customer D</t>
        </is>
      </c>
      <c r="E13" s="26" t="inlineStr">
        <is>
          <t>LGT-004</t>
        </is>
      </c>
      <c r="F13" s="28" t="n">
        <v>1</v>
      </c>
      <c r="G13" s="29" t="n">
        <v>24.99</v>
      </c>
      <c r="H13" s="23" t="inlineStr">
        <is>
          <t>Paid</t>
        </is>
      </c>
      <c r="I13" s="23" t="inlineStr">
        <is>
          <t>Delivered</t>
        </is>
      </c>
      <c r="J13" s="28">
        <f>DATE(2026,10,16)-DATEVALUE(B13)</f>
        <v/>
      </c>
      <c r="K13" s="31">
        <f>IF(OR(H13="Pending",I13="On Hold",AND(I13="Processing",J13&gt;=2)),"FOLLOW UP","No immediate action")</f>
        <v/>
      </c>
      <c r="L13" s="27" t="inlineStr">
        <is>
          <t>No action unless customer raises an issue.</t>
        </is>
      </c>
    </row>
    <row r="14" ht="22" customHeight="1">
      <c r="A14" s="19" t="inlineStr">
        <is>
          <t>ORD-1005</t>
        </is>
      </c>
      <c r="B14" s="19" t="inlineStr">
        <is>
          <t>2026-10-06</t>
        </is>
      </c>
      <c r="C14" s="19" t="inlineStr">
        <is>
          <t>Website</t>
        </is>
      </c>
      <c r="D14" s="20" t="inlineStr">
        <is>
          <t>Customer E</t>
        </is>
      </c>
      <c r="E14" s="19" t="inlineStr">
        <is>
          <t>DSK-005</t>
        </is>
      </c>
      <c r="F14" s="21" t="n">
        <v>3</v>
      </c>
      <c r="G14" s="22" t="n">
        <v>59.97</v>
      </c>
      <c r="H14" s="23" t="inlineStr">
        <is>
          <t>Paid</t>
        </is>
      </c>
      <c r="I14" s="30" t="inlineStr">
        <is>
          <t>Processing</t>
        </is>
      </c>
      <c r="J14" s="21">
        <f>DATE(2026,10,16)-DATEVALUE(B14)</f>
        <v/>
      </c>
      <c r="K14" s="25">
        <f>IF(OR(H14="Pending",I14="On Hold",AND(I14="Processing",J14&gt;=2)),"FOLLOW UP","No immediate action")</f>
        <v/>
      </c>
      <c r="L14" s="20" t="inlineStr">
        <is>
          <t>Confirm stock availability.</t>
        </is>
      </c>
    </row>
    <row r="15" ht="22" customHeight="1">
      <c r="A15" s="26" t="inlineStr">
        <is>
          <t>ORD-1006</t>
        </is>
      </c>
      <c r="B15" s="26" t="inlineStr">
        <is>
          <t>2026-10-07</t>
        </is>
      </c>
      <c r="C15" s="26" t="inlineStr">
        <is>
          <t>Amazon</t>
        </is>
      </c>
      <c r="D15" s="27" t="inlineStr">
        <is>
          <t>Customer F</t>
        </is>
      </c>
      <c r="E15" s="26" t="inlineStr">
        <is>
          <t>TEC-007</t>
        </is>
      </c>
      <c r="F15" s="28" t="n">
        <v>1</v>
      </c>
      <c r="G15" s="29" t="n">
        <v>34.99</v>
      </c>
      <c r="H15" s="26" t="inlineStr">
        <is>
          <t>Refunded</t>
        </is>
      </c>
      <c r="I15" s="26" t="inlineStr">
        <is>
          <t>Cancelled</t>
        </is>
      </c>
      <c r="J15" s="28">
        <f>DATE(2026,10,16)-DATEVALUE(B15)</f>
        <v/>
      </c>
      <c r="K15" s="31">
        <f>IF(OR(H15="Pending",I15="On Hold",AND(I15="Processing",J15&gt;=2)),"FOLLOW UP","No immediate action")</f>
        <v/>
      </c>
      <c r="L15" s="27" t="inlineStr">
        <is>
          <t>Check refund completion record.</t>
        </is>
      </c>
    </row>
    <row r="16" ht="22" customHeight="1">
      <c r="A16" s="19" t="inlineStr">
        <is>
          <t>ORD-1007</t>
        </is>
      </c>
      <c r="B16" s="19" t="inlineStr">
        <is>
          <t>2026-10-08</t>
        </is>
      </c>
      <c r="C16" s="19" t="inlineStr">
        <is>
          <t>Shopee</t>
        </is>
      </c>
      <c r="D16" s="20" t="inlineStr">
        <is>
          <t>Customer G</t>
        </is>
      </c>
      <c r="E16" s="19" t="inlineStr">
        <is>
          <t>COM-008</t>
        </is>
      </c>
      <c r="F16" s="21" t="n">
        <v>2</v>
      </c>
      <c r="G16" s="22" t="n">
        <v>55.98</v>
      </c>
      <c r="H16" s="23" t="inlineStr">
        <is>
          <t>Paid</t>
        </is>
      </c>
      <c r="I16" s="24" t="inlineStr">
        <is>
          <t>Shipped</t>
        </is>
      </c>
      <c r="J16" s="21">
        <f>DATE(2026,10,16)-DATEVALUE(B16)</f>
        <v/>
      </c>
      <c r="K16" s="25">
        <f>IF(OR(H16="Pending",I16="On Hold",AND(I16="Processing",J16&gt;=2)),"FOLLOW UP","No immediate action")</f>
        <v/>
      </c>
      <c r="L16" s="20" t="inlineStr">
        <is>
          <t>Monitor delivery status.</t>
        </is>
      </c>
    </row>
    <row r="17" ht="22" customHeight="1">
      <c r="A17" s="26" t="inlineStr">
        <is>
          <t>ORD-1008</t>
        </is>
      </c>
      <c r="B17" s="26" t="inlineStr">
        <is>
          <t>2026-10-09</t>
        </is>
      </c>
      <c r="C17" s="26" t="inlineStr">
        <is>
          <t>Website</t>
        </is>
      </c>
      <c r="D17" s="27" t="inlineStr">
        <is>
          <t>Customer H</t>
        </is>
      </c>
      <c r="E17" s="26" t="inlineStr">
        <is>
          <t>ORG-006</t>
        </is>
      </c>
      <c r="F17" s="28" t="n">
        <v>1</v>
      </c>
      <c r="G17" s="29" t="n">
        <v>14.99</v>
      </c>
      <c r="H17" s="30" t="inlineStr">
        <is>
          <t>Pending</t>
        </is>
      </c>
      <c r="I17" s="30" t="inlineStr">
        <is>
          <t>Processing</t>
        </is>
      </c>
      <c r="J17" s="28">
        <f>DATE(2026,10,16)-DATEVALUE(B17)</f>
        <v/>
      </c>
      <c r="K17" s="31">
        <f>IF(OR(H17="Pending",I17="On Hold",AND(I17="Processing",J17&gt;=2)),"FOLLOW UP","No immediate action")</f>
        <v/>
      </c>
      <c r="L17" s="27" t="inlineStr">
        <is>
          <t>Resolve payment status before dispatch.</t>
        </is>
      </c>
    </row>
    <row r="18"/>
    <row r="19" ht="24" customHeight="1">
      <c r="A19" s="32" t="inlineStr">
        <is>
          <t>SLA Rule:</t>
        </is>
      </c>
      <c r="B19" s="33" t="inlineStr">
        <is>
          <t>Orders with pending payment, on-hold status, or in processing &gt;= 2 days automatically trigger an escalated FOLLOW UP flag.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2026-10-16T10:17:03Z</dcterms:modified>
</cp:coreProperties>
</file>