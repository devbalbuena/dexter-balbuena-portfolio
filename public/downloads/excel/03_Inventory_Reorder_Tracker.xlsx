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991B1B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059669"/>
      <sz val="10"/>
    </font>
    <font>
      <name val="Segoe UI"/>
      <i val="1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4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3" fontId="9" fillId="7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3" fontId="9" fillId="8" borderId="2" applyAlignment="1" pivotButton="0" quotePrefix="0" xfId="0">
      <alignment horizontal="right" vertical="center"/>
    </xf>
    <xf numFmtId="165" fontId="9" fillId="8" borderId="2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164" fontId="11" fillId="8" borderId="2" applyAlignment="1" pivotButton="0" quotePrefix="0" xfId="0">
      <alignment horizontal="right" vertical="center"/>
    </xf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M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1" customWidth="1" min="2" max="2"/>
    <col width="14" customWidth="1" min="3" max="3"/>
    <col width="17" customWidth="1" min="4" max="4"/>
    <col width="19" customWidth="1" min="5" max="5"/>
    <col width="20" customWidth="1" min="6" max="6"/>
    <col width="16" customWidth="1" min="7" max="7"/>
    <col width="17" customWidth="1" min="8" max="8"/>
    <col width="23" customWidth="1" min="9" max="9"/>
    <col width="16" customWidth="1" min="10" max="10"/>
    <col width="19" customWidth="1" min="11" max="11"/>
    <col width="21" customWidth="1" min="12" max="12"/>
    <col width="20" customWidth="1" min="13" max="13"/>
  </cols>
  <sheetData>
    <row r="1" ht="36" customHeight="1">
      <c r="A1" s="1" t="inlineStr">
        <is>
          <t>DYNAMIC INVENTORY &amp; AUTOMATED REORDER POINT ENGINE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Dynamic stock replenishment model calculating automated reorder thresholds and suggested batch sizes.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/>
    <row r="4">
      <c r="A4" s="5" t="inlineStr">
        <is>
          <t>SKUs MONITORED</t>
        </is>
      </c>
      <c r="B4" s="6" t="n"/>
      <c r="C4" s="7" t="inlineStr">
        <is>
          <t>HEALTHY STOCK</t>
        </is>
      </c>
      <c r="D4" s="8" t="n"/>
      <c r="E4" s="8" t="n"/>
      <c r="F4" s="9" t="inlineStr">
        <is>
          <t>REORDER TRIGGERS</t>
        </is>
      </c>
      <c r="G4" s="10" t="n"/>
      <c r="H4" s="10" t="n"/>
      <c r="I4" s="5" t="inlineStr">
        <is>
          <t>TOTAL INVENTORY VALUE</t>
        </is>
      </c>
      <c r="J4" s="6" t="n"/>
      <c r="K4" s="6" t="n"/>
      <c r="L4" s="6" t="n"/>
      <c r="M4" s="6" t="n"/>
    </row>
    <row r="5">
      <c r="A5" s="11">
        <f>COUNTA(A10:A17)</f>
        <v/>
      </c>
      <c r="B5" s="6" t="n"/>
      <c r="C5" s="12">
        <f>COUNTIF(J10:J17, "In Stock")</f>
        <v/>
      </c>
      <c r="D5" s="8" t="n"/>
      <c r="E5" s="8" t="n"/>
      <c r="F5" s="13">
        <f>COUNTIF(J10:J17, "REORDER")</f>
        <v/>
      </c>
      <c r="G5" s="10" t="n"/>
      <c r="H5" s="10" t="n"/>
      <c r="I5" s="14">
        <f>SUM(L10:L17)</f>
        <v/>
      </c>
      <c r="J5" s="6" t="n"/>
      <c r="K5" s="6" t="n"/>
      <c r="L5" s="6" t="n"/>
      <c r="M5" s="6" t="n"/>
    </row>
    <row r="6">
      <c r="A6" s="15" t="inlineStr">
        <is>
          <t>Active Catalog Items</t>
        </is>
      </c>
      <c r="B6" s="6" t="n"/>
      <c r="C6" s="16" t="inlineStr">
        <is>
          <t>Adequate Coverage</t>
        </is>
      </c>
      <c r="D6" s="8" t="n"/>
      <c r="E6" s="8" t="n"/>
      <c r="F6" s="17" t="inlineStr">
        <is>
          <t>Action Required</t>
        </is>
      </c>
      <c r="G6" s="10" t="n"/>
      <c r="H6" s="10" t="n"/>
      <c r="I6" s="15" t="inlineStr">
        <is>
          <t>Warehouse Valuation</t>
        </is>
      </c>
      <c r="J6" s="6" t="n"/>
      <c r="K6" s="6" t="n"/>
      <c r="L6" s="6" t="n"/>
      <c r="M6" s="6" t="n"/>
    </row>
    <row r="7"/>
    <row r="8"/>
    <row r="9" ht="28" customHeight="1">
      <c r="A9" s="18" t="inlineStr">
        <is>
          <t>SKU</t>
        </is>
      </c>
      <c r="B9" s="18" t="inlineStr">
        <is>
          <t>Product</t>
        </is>
      </c>
      <c r="C9" s="18" t="inlineStr">
        <is>
          <t>Supplier</t>
        </is>
      </c>
      <c r="D9" s="18" t="inlineStr">
        <is>
          <t>Stock On Hand</t>
        </is>
      </c>
      <c r="E9" s="18" t="inlineStr">
        <is>
          <t>Avg Daily Sales</t>
        </is>
      </c>
      <c r="F9" s="18" t="inlineStr">
        <is>
          <t>Lead Time (Days)</t>
        </is>
      </c>
      <c r="G9" s="18" t="inlineStr">
        <is>
          <t>Safety Stock</t>
        </is>
      </c>
      <c r="H9" s="18" t="inlineStr">
        <is>
          <t>Reorder Point</t>
        </is>
      </c>
      <c r="I9" s="18" t="inlineStr">
        <is>
          <t>Suggested Order Qty</t>
        </is>
      </c>
      <c r="J9" s="18" t="inlineStr">
        <is>
          <t>Stock Status</t>
        </is>
      </c>
      <c r="K9" s="18" t="inlineStr">
        <is>
          <t>Unit Cost (USD)</t>
        </is>
      </c>
      <c r="L9" s="18" t="inlineStr">
        <is>
          <t>Stock Value (USD)</t>
        </is>
      </c>
      <c r="M9" s="18" t="inlineStr">
        <is>
          <t>Notes</t>
        </is>
      </c>
    </row>
    <row r="10" ht="22" customHeight="1">
      <c r="A10" s="19" t="inlineStr">
        <is>
          <t>DSK-001</t>
        </is>
      </c>
      <c r="B10" s="20" t="inlineStr">
        <is>
          <t>Adjustable Laptop Stand</t>
        </is>
      </c>
      <c r="C10" s="20" t="inlineStr">
        <is>
          <t>Supplier A</t>
        </is>
      </c>
      <c r="D10" s="21" t="n">
        <v>42</v>
      </c>
      <c r="E10" s="22" t="n">
        <v>3.2</v>
      </c>
      <c r="F10" s="21" t="n">
        <v>7</v>
      </c>
      <c r="G10" s="21" t="n">
        <v>10</v>
      </c>
      <c r="H10" s="21">
        <f>ROUND(E10*F10+G10,0)</f>
        <v/>
      </c>
      <c r="I10" s="21">
        <f>MAX(0,ROUNDUP(H10-D10+E10*14,0))</f>
        <v/>
      </c>
      <c r="J10" s="23">
        <f>IF(D10&lt;=H10,"REORDER","In Stock")</f>
        <v/>
      </c>
      <c r="K10" s="24" t="n">
        <v>12</v>
      </c>
      <c r="L10" s="25">
        <f>D10*K10</f>
        <v/>
      </c>
      <c r="M10" s="20" t="inlineStr">
        <is>
          <t>Fictional sample</t>
        </is>
      </c>
    </row>
    <row r="11" ht="22" customHeight="1">
      <c r="A11" s="26" t="inlineStr">
        <is>
          <t>DSK-002</t>
        </is>
      </c>
      <c r="B11" s="27" t="inlineStr">
        <is>
          <t>Under-Desk Headphone Hanger</t>
        </is>
      </c>
      <c r="C11" s="27" t="inlineStr">
        <is>
          <t>Supplier B</t>
        </is>
      </c>
      <c r="D11" s="28" t="n">
        <v>18</v>
      </c>
      <c r="E11" s="29" t="n">
        <v>4</v>
      </c>
      <c r="F11" s="28" t="n">
        <v>5</v>
      </c>
      <c r="G11" s="28" t="n">
        <v>8</v>
      </c>
      <c r="H11" s="28">
        <f>ROUND(E11*F11+G11,0)</f>
        <v/>
      </c>
      <c r="I11" s="28">
        <f>MAX(0,ROUNDUP(H11-D11+E11*14,0))</f>
        <v/>
      </c>
      <c r="J11" s="30">
        <f>IF(D11&lt;=H11,"REORDER","In Stock")</f>
        <v/>
      </c>
      <c r="K11" s="31" t="n">
        <v>5.5</v>
      </c>
      <c r="L11" s="32">
        <f>D11*K11</f>
        <v/>
      </c>
      <c r="M11" s="27" t="inlineStr">
        <is>
          <t>Fictional sample</t>
        </is>
      </c>
    </row>
    <row r="12" ht="22" customHeight="1">
      <c r="A12" s="19" t="inlineStr">
        <is>
          <t>ORG-003</t>
        </is>
      </c>
      <c r="B12" s="20" t="inlineStr">
        <is>
          <t>Cable Management Tray</t>
        </is>
      </c>
      <c r="C12" s="20" t="inlineStr">
        <is>
          <t>Supplier C</t>
        </is>
      </c>
      <c r="D12" s="21" t="n">
        <v>9</v>
      </c>
      <c r="E12" s="22" t="n">
        <v>1.8</v>
      </c>
      <c r="F12" s="21" t="n">
        <v>10</v>
      </c>
      <c r="G12" s="21" t="n">
        <v>6</v>
      </c>
      <c r="H12" s="21">
        <f>ROUND(E12*F12+G12,0)</f>
        <v/>
      </c>
      <c r="I12" s="21">
        <f>MAX(0,ROUNDUP(H12-D12+E12*14,0))</f>
        <v/>
      </c>
      <c r="J12" s="23">
        <f>IF(D12&lt;=H12,"REORDER","In Stock")</f>
        <v/>
      </c>
      <c r="K12" s="24" t="n">
        <v>8.25</v>
      </c>
      <c r="L12" s="25">
        <f>D12*K12</f>
        <v/>
      </c>
      <c r="M12" s="20" t="inlineStr">
        <is>
          <t>Fictional sample</t>
        </is>
      </c>
    </row>
    <row r="13" ht="22" customHeight="1">
      <c r="A13" s="26" t="inlineStr">
        <is>
          <t>LGT-004</t>
        </is>
      </c>
      <c r="B13" s="27" t="inlineStr">
        <is>
          <t>Portable LED Desk Lamp</t>
        </is>
      </c>
      <c r="C13" s="27" t="inlineStr">
        <is>
          <t>Supplier A</t>
        </is>
      </c>
      <c r="D13" s="28" t="n">
        <v>30</v>
      </c>
      <c r="E13" s="29" t="n">
        <v>2.4</v>
      </c>
      <c r="F13" s="28" t="n">
        <v>8</v>
      </c>
      <c r="G13" s="28" t="n">
        <v>8</v>
      </c>
      <c r="H13" s="28">
        <f>ROUND(E13*F13+G13,0)</f>
        <v/>
      </c>
      <c r="I13" s="28">
        <f>MAX(0,ROUNDUP(H13-D13+E13*14,0))</f>
        <v/>
      </c>
      <c r="J13" s="30">
        <f>IF(D13&lt;=H13,"REORDER","In Stock")</f>
        <v/>
      </c>
      <c r="K13" s="31" t="n">
        <v>10</v>
      </c>
      <c r="L13" s="32">
        <f>D13*K13</f>
        <v/>
      </c>
      <c r="M13" s="27" t="inlineStr">
        <is>
          <t>Fictional sample</t>
        </is>
      </c>
    </row>
    <row r="14" ht="22" customHeight="1">
      <c r="A14" s="19" t="inlineStr">
        <is>
          <t>DSK-005</t>
        </is>
      </c>
      <c r="B14" s="20" t="inlineStr">
        <is>
          <t>Foldable Laptop Riser</t>
        </is>
      </c>
      <c r="C14" s="20" t="inlineStr">
        <is>
          <t>Supplier B</t>
        </is>
      </c>
      <c r="D14" s="21" t="n">
        <v>7</v>
      </c>
      <c r="E14" s="22" t="n">
        <v>1.6</v>
      </c>
      <c r="F14" s="21" t="n">
        <v>6</v>
      </c>
      <c r="G14" s="21" t="n">
        <v>5</v>
      </c>
      <c r="H14" s="21">
        <f>ROUND(E14*F14+G14,0)</f>
        <v/>
      </c>
      <c r="I14" s="21">
        <f>MAX(0,ROUNDUP(H14-D14+E14*14,0))</f>
        <v/>
      </c>
      <c r="J14" s="23">
        <f>IF(D14&lt;=H14,"REORDER","In Stock")</f>
        <v/>
      </c>
      <c r="K14" s="24" t="n">
        <v>7</v>
      </c>
      <c r="L14" s="25">
        <f>D14*K14</f>
        <v/>
      </c>
      <c r="M14" s="20" t="inlineStr">
        <is>
          <t>Fictional sample</t>
        </is>
      </c>
    </row>
    <row r="15" ht="22" customHeight="1">
      <c r="A15" s="26" t="inlineStr">
        <is>
          <t>ORG-006</t>
        </is>
      </c>
      <c r="B15" s="27" t="inlineStr">
        <is>
          <t>Minimalist Desk Organizer</t>
        </is>
      </c>
      <c r="C15" s="27" t="inlineStr">
        <is>
          <t>Supplier C</t>
        </is>
      </c>
      <c r="D15" s="28" t="n">
        <v>25</v>
      </c>
      <c r="E15" s="29" t="n">
        <v>2</v>
      </c>
      <c r="F15" s="28" t="n">
        <v>9</v>
      </c>
      <c r="G15" s="28" t="n">
        <v>7</v>
      </c>
      <c r="H15" s="28">
        <f>ROUND(E15*F15+G15,0)</f>
        <v/>
      </c>
      <c r="I15" s="28">
        <f>MAX(0,ROUNDUP(H15-D15+E15*14,0))</f>
        <v/>
      </c>
      <c r="J15" s="30">
        <f>IF(D15&lt;=H15,"REORDER","In Stock")</f>
        <v/>
      </c>
      <c r="K15" s="31" t="n">
        <v>4.5</v>
      </c>
      <c r="L15" s="32">
        <f>D15*K15</f>
        <v/>
      </c>
      <c r="M15" s="27" t="inlineStr">
        <is>
          <t>Fictional sample</t>
        </is>
      </c>
    </row>
    <row r="16" ht="22" customHeight="1">
      <c r="A16" s="19" t="inlineStr">
        <is>
          <t>TEC-007</t>
        </is>
      </c>
      <c r="B16" s="20" t="inlineStr">
        <is>
          <t>USB-C Hub Adapter</t>
        </is>
      </c>
      <c r="C16" s="20" t="inlineStr">
        <is>
          <t>Supplier D</t>
        </is>
      </c>
      <c r="D16" s="21" t="n">
        <v>12</v>
      </c>
      <c r="E16" s="22" t="n">
        <v>1.5</v>
      </c>
      <c r="F16" s="21" t="n">
        <v>12</v>
      </c>
      <c r="G16" s="21" t="n">
        <v>8</v>
      </c>
      <c r="H16" s="21">
        <f>ROUND(E16*F16+G16,0)</f>
        <v/>
      </c>
      <c r="I16" s="21">
        <f>MAX(0,ROUNDUP(H16-D16+E16*14,0))</f>
        <v/>
      </c>
      <c r="J16" s="23">
        <f>IF(D16&lt;=H16,"REORDER","In Stock")</f>
        <v/>
      </c>
      <c r="K16" s="24" t="n">
        <v>18</v>
      </c>
      <c r="L16" s="25">
        <f>D16*K16</f>
        <v/>
      </c>
      <c r="M16" s="20" t="inlineStr">
        <is>
          <t>Fictional sample</t>
        </is>
      </c>
    </row>
    <row r="17" ht="22" customHeight="1">
      <c r="A17" s="26" t="inlineStr">
        <is>
          <t>COM-008</t>
        </is>
      </c>
      <c r="B17" s="27" t="inlineStr">
        <is>
          <t>Ergonomic Footrest</t>
        </is>
      </c>
      <c r="C17" s="27" t="inlineStr">
        <is>
          <t>Supplier A</t>
        </is>
      </c>
      <c r="D17" s="28" t="n">
        <v>16</v>
      </c>
      <c r="E17" s="29" t="n">
        <v>1.1</v>
      </c>
      <c r="F17" s="28" t="n">
        <v>10</v>
      </c>
      <c r="G17" s="28" t="n">
        <v>5</v>
      </c>
      <c r="H17" s="28">
        <f>ROUND(E17*F17+G17,0)</f>
        <v/>
      </c>
      <c r="I17" s="28">
        <f>MAX(0,ROUNDUP(H17-D17+E17*14,0))</f>
        <v/>
      </c>
      <c r="J17" s="30">
        <f>IF(D17&lt;=H17,"REORDER","In Stock")</f>
        <v/>
      </c>
      <c r="K17" s="31" t="n">
        <v>11.5</v>
      </c>
      <c r="L17" s="32">
        <f>D17*K17</f>
        <v/>
      </c>
      <c r="M17" s="27" t="inlineStr">
        <is>
          <t>Fictional sample</t>
        </is>
      </c>
    </row>
    <row r="18"/>
    <row r="19" ht="24" customHeight="1">
      <c r="A19" s="33" t="inlineStr">
        <is>
          <t>Inventory Logic:</t>
        </is>
      </c>
      <c r="B19" s="34" t="inlineStr">
        <is>
          <t>Reorder Point = ROUND(Daily_Sales * Lead_Time + Safety_Stock, 0). Suggested Order Qty covers a 14-day operational replenishment buffer.</t>
        </is>
      </c>
    </row>
  </sheetData>
  <mergeCells count="12">
    <mergeCell ref="A4:B4"/>
    <mergeCell ref="I4:M4"/>
    <mergeCell ref="F6:H6"/>
    <mergeCell ref="F5:H5"/>
    <mergeCell ref="C5:E5"/>
    <mergeCell ref="I6:M6"/>
    <mergeCell ref="A5:B5"/>
    <mergeCell ref="C4:E4"/>
    <mergeCell ref="F4:H4"/>
    <mergeCell ref="I5:M5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2026-10-16T10:17:02Z</dcterms:modified>
</cp:coreProperties>
</file>