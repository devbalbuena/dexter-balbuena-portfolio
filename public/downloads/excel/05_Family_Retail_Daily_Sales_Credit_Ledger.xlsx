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0F766E"/>
      <sz val="16"/>
    </font>
    <font>
      <name val="Segoe UI"/>
      <b val="1"/>
      <color rgb="0092400E"/>
      <sz val="16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color rgb="001E293B"/>
      <sz val="10"/>
    </font>
    <font>
      <name val="Segoe UI"/>
      <b val="1"/>
      <color rgb="00059669"/>
      <sz val="10"/>
    </font>
    <font>
      <name val="Segoe UI"/>
      <b val="1"/>
      <color rgb="001E293B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i val="1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00042F2E"/>
        <bgColor rgb="00042F2E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CCFBF1"/>
        <bgColor rgb="00CCFBF1"/>
      </patternFill>
    </fill>
    <fill>
      <patternFill patternType="solid">
        <fgColor rgb="00FEF3C7"/>
        <bgColor rgb="00FEF3C7"/>
      </patternFill>
    </fill>
    <fill>
      <patternFill patternType="solid">
        <fgColor rgb="00115E59"/>
        <bgColor rgb="00115E59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B45309"/>
        <bgColor rgb="00B4530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4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3" fontId="11" fillId="9" borderId="2" applyAlignment="1" pivotButton="0" quotePrefix="0" xfId="0">
      <alignment horizontal="right" vertical="center"/>
    </xf>
    <xf numFmtId="164" fontId="11" fillId="9" borderId="2" applyAlignment="1" pivotButton="0" quotePrefix="0" xfId="0">
      <alignment horizontal="right" vertical="center"/>
    </xf>
    <xf numFmtId="164" fontId="12" fillId="9" borderId="2" applyAlignment="1" pivotButton="0" quotePrefix="0" xfId="0">
      <alignment horizontal="right" vertical="center"/>
    </xf>
    <xf numFmtId="165" fontId="11" fillId="9" borderId="2" applyAlignment="1" pivotButton="0" quotePrefix="0" xfId="0">
      <alignment horizontal="right" vertical="center"/>
    </xf>
    <xf numFmtId="0" fontId="14" fillId="4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3" fontId="11" fillId="10" borderId="2" applyAlignment="1" pivotButton="0" quotePrefix="0" xfId="0">
      <alignment horizontal="right" vertical="center"/>
    </xf>
    <xf numFmtId="164" fontId="11" fillId="10" borderId="2" applyAlignment="1" pivotButton="0" quotePrefix="0" xfId="0">
      <alignment horizontal="right" vertical="center"/>
    </xf>
    <xf numFmtId="164" fontId="12" fillId="10" borderId="2" applyAlignment="1" pivotButton="0" quotePrefix="0" xfId="0">
      <alignment horizontal="right" vertical="center"/>
    </xf>
    <xf numFmtId="165" fontId="11" fillId="10" borderId="2" applyAlignment="1" pivotButton="0" quotePrefix="0" xfId="0">
      <alignment horizontal="right" vertical="center"/>
    </xf>
    <xf numFmtId="0" fontId="15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left" vertical="center" indent="1"/>
    </xf>
    <xf numFmtId="164" fontId="14" fillId="9" borderId="2" applyAlignment="1" pivotButton="0" quotePrefix="0" xfId="0">
      <alignment horizontal="right" vertical="center"/>
    </xf>
    <xf numFmtId="164" fontId="15" fillId="10" borderId="2" applyAlignment="1" pivotButton="0" quotePrefix="0" xfId="0">
      <alignment horizontal="right" vertical="center"/>
    </xf>
    <xf numFmtId="0" fontId="16" fillId="6" borderId="2" applyAlignment="1" pivotButton="0" quotePrefix="0" xfId="0">
      <alignment horizontal="center" vertical="center"/>
    </xf>
    <xf numFmtId="164" fontId="15" fillId="9" borderId="2" applyAlignment="1" pivotButton="0" quotePrefix="0" xfId="0">
      <alignment horizontal="right" vertical="center"/>
    </xf>
    <xf numFmtId="0" fontId="3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L34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7" customWidth="1" min="2" max="2"/>
    <col width="41" customWidth="1" min="3" max="3"/>
    <col width="25" customWidth="1" min="4" max="4"/>
    <col width="21" customWidth="1" min="5" max="5"/>
    <col width="29" customWidth="1" min="6" max="6"/>
    <col width="22" customWidth="1" min="7" max="7"/>
    <col width="64" customWidth="1" min="8" max="8"/>
    <col width="23" customWidth="1" min="9" max="9"/>
    <col width="22" customWidth="1" min="10" max="10"/>
    <col width="15" customWidth="1" min="11" max="11"/>
    <col width="17" customWidth="1" min="12" max="12"/>
  </cols>
  <sheetData>
    <row r="1" ht="36" customHeight="1">
      <c r="A1" s="1" t="inlineStr">
        <is>
          <t>FAMILY RETAIL STORE | DAILY SALES, INVENTORY &amp; CREDIT (UTANG) LEDGER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Real-world micro-retail operations | Daily stock reconciliation, wholesale markups, and customer receivables tracking.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 ht="18" customHeight="1">
      <c r="A4" s="5" t="inlineStr">
        <is>
          <t>ACTIVE MONITORED SKUs</t>
        </is>
      </c>
      <c r="B4" s="6" t="n"/>
      <c r="C4" s="7" t="inlineStr">
        <is>
          <t>TOTAL DAILY REVENUE</t>
        </is>
      </c>
      <c r="D4" s="8" t="n"/>
      <c r="E4" s="8" t="n"/>
      <c r="F4" s="9" t="inlineStr">
        <is>
          <t>AVG RETAIL MARKUP</t>
        </is>
      </c>
      <c r="G4" s="10" t="n"/>
      <c r="H4" s="10" t="n"/>
      <c r="I4" s="11" t="inlineStr">
        <is>
          <t>OUTSTANDING CREDIT (UTANG)</t>
        </is>
      </c>
      <c r="J4" s="12" t="n"/>
      <c r="K4" s="12" t="n"/>
      <c r="L4" s="12" t="n"/>
    </row>
    <row r="5" ht="28" customHeight="1">
      <c r="A5" s="13">
        <f>COUNTA(A11:A22)</f>
        <v/>
      </c>
      <c r="B5" s="6" t="n"/>
      <c r="C5" s="14">
        <f>SUM(I11:I22)</f>
        <v/>
      </c>
      <c r="D5" s="8" t="n"/>
      <c r="E5" s="8" t="n"/>
      <c r="F5" s="15">
        <f>AVERAGE(K11:K22)</f>
        <v/>
      </c>
      <c r="G5" s="10" t="n"/>
      <c r="H5" s="10" t="n"/>
      <c r="I5" s="16">
        <f>SUM(F27:F32)</f>
        <v/>
      </c>
      <c r="J5" s="12" t="n"/>
      <c r="K5" s="12" t="n"/>
      <c r="L5" s="12" t="n"/>
    </row>
    <row r="6" ht="16" customHeight="1">
      <c r="A6" s="17" t="inlineStr">
        <is>
          <t>Fast-Moving Household Staples</t>
        </is>
      </c>
      <c r="B6" s="6" t="n"/>
      <c r="C6" s="18" t="inlineStr">
        <is>
          <t>Cash &amp; Credit Gross Sales</t>
        </is>
      </c>
      <c r="D6" s="8" t="n"/>
      <c r="E6" s="8" t="n"/>
      <c r="F6" s="19" t="inlineStr">
        <is>
          <t>Profit Margin Over Wholesale</t>
        </is>
      </c>
      <c r="G6" s="10" t="n"/>
      <c r="H6" s="10" t="n"/>
      <c r="I6" s="20" t="inlineStr">
        <is>
          <t>Customer Receivables Balance</t>
        </is>
      </c>
      <c r="J6" s="12" t="n"/>
      <c r="K6" s="12" t="n"/>
      <c r="L6" s="12" t="n"/>
    </row>
    <row r="7"/>
    <row r="8"/>
    <row r="9" ht="22" customHeight="1">
      <c r="A9" s="21" t="inlineStr">
        <is>
          <t>SECTION 1: DAILY INVENTORY DEPLETION, SALES &amp; RESTOCK ALERTS</t>
        </is>
      </c>
    </row>
    <row r="10" ht="26" customHeight="1">
      <c r="A10" s="22" t="inlineStr">
        <is>
          <t>SKU</t>
        </is>
      </c>
      <c r="B10" s="22" t="inlineStr">
        <is>
          <t>Item Description</t>
        </is>
      </c>
      <c r="C10" s="22" t="inlineStr">
        <is>
          <t>Category</t>
        </is>
      </c>
      <c r="D10" s="22" t="inlineStr">
        <is>
          <t>Beginning Stock</t>
        </is>
      </c>
      <c r="E10" s="22" t="inlineStr">
        <is>
          <t>Ending Stock</t>
        </is>
      </c>
      <c r="F10" s="22" t="inlineStr">
        <is>
          <t>Units Sold</t>
        </is>
      </c>
      <c r="G10" s="22" t="inlineStr">
        <is>
          <t>Retail Price (PHP)</t>
        </is>
      </c>
      <c r="H10" s="22" t="inlineStr">
        <is>
          <t>Wholesale Cost (PHP)</t>
        </is>
      </c>
      <c r="I10" s="22" t="inlineStr">
        <is>
          <t>Total Revenue (PHP)</t>
        </is>
      </c>
      <c r="J10" s="22" t="inlineStr">
        <is>
          <t>Gross Profit (PHP)</t>
        </is>
      </c>
      <c r="K10" s="22" t="inlineStr">
        <is>
          <t>Markup %</t>
        </is>
      </c>
      <c r="L10" s="22" t="inlineStr">
        <is>
          <t>Restock Alert</t>
        </is>
      </c>
    </row>
    <row r="11" ht="22" customHeight="1">
      <c r="A11" s="23" t="inlineStr">
        <is>
          <t>GRO-001</t>
        </is>
      </c>
      <c r="B11" s="24" t="inlineStr">
        <is>
          <t>Canned Corned Beef (150g)</t>
        </is>
      </c>
      <c r="C11" s="23" t="inlineStr">
        <is>
          <t>Canned Goods</t>
        </is>
      </c>
      <c r="D11" s="25" t="n">
        <v>24</v>
      </c>
      <c r="E11" s="25" t="n">
        <v>8</v>
      </c>
      <c r="F11" s="25">
        <f>D11-E11</f>
        <v/>
      </c>
      <c r="G11" s="26" t="n">
        <v>42</v>
      </c>
      <c r="H11" s="26" t="n">
        <v>34.5</v>
      </c>
      <c r="I11" s="27">
        <f>F11*G11</f>
        <v/>
      </c>
      <c r="J11" s="27">
        <f>I11-(F11*H11)</f>
        <v/>
      </c>
      <c r="K11" s="28">
        <f>(G11-H11)/H11</f>
        <v/>
      </c>
      <c r="L11" s="29">
        <f>IF(E11&lt;=5,"RESTOCK","Adequate")</f>
        <v/>
      </c>
    </row>
    <row r="12" ht="22" customHeight="1">
      <c r="A12" s="30" t="inlineStr">
        <is>
          <t>GRO-002</t>
        </is>
      </c>
      <c r="B12" s="31" t="inlineStr">
        <is>
          <t>Canned Sardines in Tomato Sauce</t>
        </is>
      </c>
      <c r="C12" s="30" t="inlineStr">
        <is>
          <t>Canned Goods</t>
        </is>
      </c>
      <c r="D12" s="32" t="n">
        <v>30</v>
      </c>
      <c r="E12" s="32" t="n">
        <v>6</v>
      </c>
      <c r="F12" s="32">
        <f>D12-E12</f>
        <v/>
      </c>
      <c r="G12" s="33" t="n">
        <v>26</v>
      </c>
      <c r="H12" s="33" t="n">
        <v>21</v>
      </c>
      <c r="I12" s="34">
        <f>F12*G12</f>
        <v/>
      </c>
      <c r="J12" s="34">
        <f>I12-(F12*H12)</f>
        <v/>
      </c>
      <c r="K12" s="35">
        <f>(G12-H12)/H12</f>
        <v/>
      </c>
      <c r="L12" s="29">
        <f>IF(E12&lt;=5,"RESTOCK","Adequate")</f>
        <v/>
      </c>
    </row>
    <row r="13" ht="22" customHeight="1">
      <c r="A13" s="23" t="inlineStr">
        <is>
          <t>GRO-003</t>
        </is>
      </c>
      <c r="B13" s="24" t="inlineStr">
        <is>
          <t>Instant Noodles (Chicken/Beef)</t>
        </is>
      </c>
      <c r="C13" s="23" t="inlineStr">
        <is>
          <t>Noodles &amp; Pasta</t>
        </is>
      </c>
      <c r="D13" s="25" t="n">
        <v>48</v>
      </c>
      <c r="E13" s="25" t="n">
        <v>12</v>
      </c>
      <c r="F13" s="25">
        <f>D13-E13</f>
        <v/>
      </c>
      <c r="G13" s="26" t="n">
        <v>16</v>
      </c>
      <c r="H13" s="26" t="n">
        <v>12.75</v>
      </c>
      <c r="I13" s="27">
        <f>F13*G13</f>
        <v/>
      </c>
      <c r="J13" s="27">
        <f>I13-(F13*H13)</f>
        <v/>
      </c>
      <c r="K13" s="28">
        <f>(G13-H13)/H13</f>
        <v/>
      </c>
      <c r="L13" s="29">
        <f>IF(E13&lt;=5,"RESTOCK","Adequate")</f>
        <v/>
      </c>
    </row>
    <row r="14" ht="22" customHeight="1">
      <c r="A14" s="30" t="inlineStr">
        <is>
          <t>GRO-004</t>
        </is>
      </c>
      <c r="B14" s="31" t="inlineStr">
        <is>
          <t>3-in-1 Coffee Sachet (Twin Pack)</t>
        </is>
      </c>
      <c r="C14" s="30" t="inlineStr">
        <is>
          <t>Beverages</t>
        </is>
      </c>
      <c r="D14" s="32" t="n">
        <v>50</v>
      </c>
      <c r="E14" s="32" t="n">
        <v>9</v>
      </c>
      <c r="F14" s="32">
        <f>D14-E14</f>
        <v/>
      </c>
      <c r="G14" s="33" t="n">
        <v>15</v>
      </c>
      <c r="H14" s="33" t="n">
        <v>11.8</v>
      </c>
      <c r="I14" s="34">
        <f>F14*G14</f>
        <v/>
      </c>
      <c r="J14" s="34">
        <f>I14-(F14*H14)</f>
        <v/>
      </c>
      <c r="K14" s="35">
        <f>(G14-H14)/H14</f>
        <v/>
      </c>
      <c r="L14" s="29">
        <f>IF(E14&lt;=5,"RESTOCK","Adequate")</f>
        <v/>
      </c>
    </row>
    <row r="15" ht="22" customHeight="1">
      <c r="A15" s="23" t="inlineStr">
        <is>
          <t>GRO-005</t>
        </is>
      </c>
      <c r="B15" s="24" t="inlineStr">
        <is>
          <t>Evaporated Milk (370ml Can)</t>
        </is>
      </c>
      <c r="C15" s="23" t="inlineStr">
        <is>
          <t>Baking &amp; Dairy</t>
        </is>
      </c>
      <c r="D15" s="25" t="n">
        <v>16</v>
      </c>
      <c r="E15" s="25" t="n">
        <v>2</v>
      </c>
      <c r="F15" s="25">
        <f>D15-E15</f>
        <v/>
      </c>
      <c r="G15" s="26" t="n">
        <v>42</v>
      </c>
      <c r="H15" s="26" t="n">
        <v>34.5</v>
      </c>
      <c r="I15" s="27">
        <f>F15*G15</f>
        <v/>
      </c>
      <c r="J15" s="27">
        <f>I15-(F15*H15)</f>
        <v/>
      </c>
      <c r="K15" s="28">
        <f>(G15-H15)/H15</f>
        <v/>
      </c>
      <c r="L15" s="36">
        <f>IF(E15&lt;=5,"RESTOCK","Adequate")</f>
        <v/>
      </c>
    </row>
    <row r="16" ht="22" customHeight="1">
      <c r="A16" s="30" t="inlineStr">
        <is>
          <t>GRO-006</t>
        </is>
      </c>
      <c r="B16" s="31" t="inlineStr">
        <is>
          <t>Refined White Sugar (1kg Pack)</t>
        </is>
      </c>
      <c r="C16" s="30" t="inlineStr">
        <is>
          <t>Cooking Essentials</t>
        </is>
      </c>
      <c r="D16" s="32" t="n">
        <v>15</v>
      </c>
      <c r="E16" s="32" t="n">
        <v>4</v>
      </c>
      <c r="F16" s="32">
        <f>D16-E16</f>
        <v/>
      </c>
      <c r="G16" s="33" t="n">
        <v>85</v>
      </c>
      <c r="H16" s="33" t="n">
        <v>72</v>
      </c>
      <c r="I16" s="34">
        <f>F16*G16</f>
        <v/>
      </c>
      <c r="J16" s="34">
        <f>I16-(F16*H16)</f>
        <v/>
      </c>
      <c r="K16" s="35">
        <f>(G16-H16)/H16</f>
        <v/>
      </c>
      <c r="L16" s="36">
        <f>IF(E16&lt;=5,"RESTOCK","Adequate")</f>
        <v/>
      </c>
    </row>
    <row r="17" ht="22" customHeight="1">
      <c r="A17" s="23" t="inlineStr">
        <is>
          <t>GRO-007</t>
        </is>
      </c>
      <c r="B17" s="24" t="inlineStr">
        <is>
          <t>Cooking Oil Pouch (350ml)</t>
        </is>
      </c>
      <c r="C17" s="23" t="inlineStr">
        <is>
          <t>Cooking Essentials</t>
        </is>
      </c>
      <c r="D17" s="25" t="n">
        <v>20</v>
      </c>
      <c r="E17" s="25" t="n">
        <v>5</v>
      </c>
      <c r="F17" s="25">
        <f>D17-E17</f>
        <v/>
      </c>
      <c r="G17" s="26" t="n">
        <v>38</v>
      </c>
      <c r="H17" s="26" t="n">
        <v>30.5</v>
      </c>
      <c r="I17" s="27">
        <f>F17*G17</f>
        <v/>
      </c>
      <c r="J17" s="27">
        <f>I17-(F17*H17)</f>
        <v/>
      </c>
      <c r="K17" s="28">
        <f>(G17-H17)/H17</f>
        <v/>
      </c>
      <c r="L17" s="36">
        <f>IF(E17&lt;=5,"RESTOCK","Adequate")</f>
        <v/>
      </c>
    </row>
    <row r="18" ht="22" customHeight="1">
      <c r="A18" s="30" t="inlineStr">
        <is>
          <t>GRO-008</t>
        </is>
      </c>
      <c r="B18" s="31" t="inlineStr">
        <is>
          <t>Premium Dinorado Rice (per kg)</t>
        </is>
      </c>
      <c r="C18" s="30" t="inlineStr">
        <is>
          <t>Grains &amp; Rice</t>
        </is>
      </c>
      <c r="D18" s="32" t="n">
        <v>50</v>
      </c>
      <c r="E18" s="32" t="n">
        <v>18</v>
      </c>
      <c r="F18" s="32">
        <f>D18-E18</f>
        <v/>
      </c>
      <c r="G18" s="33" t="n">
        <v>56</v>
      </c>
      <c r="H18" s="33" t="n">
        <v>48</v>
      </c>
      <c r="I18" s="34">
        <f>F18*G18</f>
        <v/>
      </c>
      <c r="J18" s="34">
        <f>I18-(F18*H18)</f>
        <v/>
      </c>
      <c r="K18" s="35">
        <f>(G18-H18)/H18</f>
        <v/>
      </c>
      <c r="L18" s="29">
        <f>IF(E18&lt;=5,"RESTOCK","Adequate")</f>
        <v/>
      </c>
    </row>
    <row r="19" ht="22" customHeight="1">
      <c r="A19" s="23" t="inlineStr">
        <is>
          <t>GRO-009</t>
        </is>
      </c>
      <c r="B19" s="24" t="inlineStr">
        <is>
          <t>Powdered Laundry Detergent Sachet</t>
        </is>
      </c>
      <c r="C19" s="23" t="inlineStr">
        <is>
          <t>Household Cleaning</t>
        </is>
      </c>
      <c r="D19" s="25" t="n">
        <v>36</v>
      </c>
      <c r="E19" s="25" t="n">
        <v>14</v>
      </c>
      <c r="F19" s="25">
        <f>D19-E19</f>
        <v/>
      </c>
      <c r="G19" s="26" t="n">
        <v>14</v>
      </c>
      <c r="H19" s="26" t="n">
        <v>10.5</v>
      </c>
      <c r="I19" s="27">
        <f>F19*G19</f>
        <v/>
      </c>
      <c r="J19" s="27">
        <f>I19-(F19*H19)</f>
        <v/>
      </c>
      <c r="K19" s="28">
        <f>(G19-H19)/H19</f>
        <v/>
      </c>
      <c r="L19" s="29">
        <f>IF(E19&lt;=5,"RESTOCK","Adequate")</f>
        <v/>
      </c>
    </row>
    <row r="20" ht="22" customHeight="1">
      <c r="A20" s="30" t="inlineStr">
        <is>
          <t>GRO-010</t>
        </is>
      </c>
      <c r="B20" s="31" t="inlineStr">
        <is>
          <t>Fabric Conditioner Sachet</t>
        </is>
      </c>
      <c r="C20" s="30" t="inlineStr">
        <is>
          <t>Household Cleaning</t>
        </is>
      </c>
      <c r="D20" s="32" t="n">
        <v>36</v>
      </c>
      <c r="E20" s="32" t="n">
        <v>11</v>
      </c>
      <c r="F20" s="32">
        <f>D20-E20</f>
        <v/>
      </c>
      <c r="G20" s="33" t="n">
        <v>12</v>
      </c>
      <c r="H20" s="33" t="n">
        <v>9.199999999999999</v>
      </c>
      <c r="I20" s="34">
        <f>F20*G20</f>
        <v/>
      </c>
      <c r="J20" s="34">
        <f>I20-(F20*H20)</f>
        <v/>
      </c>
      <c r="K20" s="35">
        <f>(G20-H20)/H20</f>
        <v/>
      </c>
      <c r="L20" s="29">
        <f>IF(E20&lt;=5,"RESTOCK","Adequate")</f>
        <v/>
      </c>
    </row>
    <row r="21" ht="22" customHeight="1">
      <c r="A21" s="23" t="inlineStr">
        <is>
          <t>GRO-011</t>
        </is>
      </c>
      <c r="B21" s="24" t="inlineStr">
        <is>
          <t>Mineral Bottled Water (500ml)</t>
        </is>
      </c>
      <c r="C21" s="23" t="inlineStr">
        <is>
          <t>Beverages</t>
        </is>
      </c>
      <c r="D21" s="25" t="n">
        <v>24</v>
      </c>
      <c r="E21" s="25" t="n">
        <v>7</v>
      </c>
      <c r="F21" s="25">
        <f>D21-E21</f>
        <v/>
      </c>
      <c r="G21" s="26" t="n">
        <v>15</v>
      </c>
      <c r="H21" s="26" t="n">
        <v>10</v>
      </c>
      <c r="I21" s="27">
        <f>F21*G21</f>
        <v/>
      </c>
      <c r="J21" s="27">
        <f>I21-(F21*H21)</f>
        <v/>
      </c>
      <c r="K21" s="28">
        <f>(G21-H21)/H21</f>
        <v/>
      </c>
      <c r="L21" s="29">
        <f>IF(E21&lt;=5,"RESTOCK","Adequate")</f>
        <v/>
      </c>
    </row>
    <row r="22" ht="22" customHeight="1">
      <c r="A22" s="30" t="inlineStr">
        <is>
          <t>GRO-012</t>
        </is>
      </c>
      <c r="B22" s="31" t="inlineStr">
        <is>
          <t>Bath Soap Bar (90g)</t>
        </is>
      </c>
      <c r="C22" s="30" t="inlineStr">
        <is>
          <t>Personal Care</t>
        </is>
      </c>
      <c r="D22" s="32" t="n">
        <v>18</v>
      </c>
      <c r="E22" s="32" t="n">
        <v>3</v>
      </c>
      <c r="F22" s="32">
        <f>D22-E22</f>
        <v/>
      </c>
      <c r="G22" s="33" t="n">
        <v>38</v>
      </c>
      <c r="H22" s="33" t="n">
        <v>30</v>
      </c>
      <c r="I22" s="34">
        <f>F22*G22</f>
        <v/>
      </c>
      <c r="J22" s="34">
        <f>I22-(F22*H22)</f>
        <v/>
      </c>
      <c r="K22" s="35">
        <f>(G22-H22)/H22</f>
        <v/>
      </c>
      <c r="L22" s="36">
        <f>IF(E22&lt;=5,"RESTOCK","Adequate")</f>
        <v/>
      </c>
    </row>
    <row r="23"/>
    <row r="24" ht="14" customHeight="1"/>
    <row r="25" ht="22" customHeight="1">
      <c r="A25" s="37" t="inlineStr">
        <is>
          <t>SECTION 2: NEIGHBORHOOD CUSTOMER CREDIT (UTANG) &amp; RECEIVABLES RECONCILIATION</t>
        </is>
      </c>
    </row>
    <row r="26" ht="26" customHeight="1">
      <c r="A26" s="22" t="inlineStr">
        <is>
          <t>Customer Ref</t>
        </is>
      </c>
      <c r="B26" s="22" t="inlineStr">
        <is>
          <t>Transaction Date</t>
        </is>
      </c>
      <c r="C26" s="22" t="inlineStr">
        <is>
          <t>Items Purchased</t>
        </is>
      </c>
      <c r="D26" s="22" t="inlineStr">
        <is>
          <t>Original Credit (PHP)</t>
        </is>
      </c>
      <c r="E26" s="22" t="inlineStr">
        <is>
          <t>Amount Paid (PHP)</t>
        </is>
      </c>
      <c r="F26" s="22" t="inlineStr">
        <is>
          <t>Outstanding Balance (PHP)</t>
        </is>
      </c>
      <c r="G26" s="22" t="inlineStr">
        <is>
          <t>Payment Status</t>
        </is>
      </c>
      <c r="H26" s="22" t="inlineStr">
        <is>
          <t>Due / Follow-up Note</t>
        </is>
      </c>
    </row>
    <row r="27" ht="22" customHeight="1">
      <c r="A27" s="23" t="inlineStr">
        <is>
          <t>Customer Alpha</t>
        </is>
      </c>
      <c r="B27" s="23" t="inlineStr">
        <is>
          <t>2026-10-10</t>
        </is>
      </c>
      <c r="C27" s="24" t="inlineStr">
        <is>
          <t>Rice (2kg), Sardines (2 cans), Coffee</t>
        </is>
      </c>
      <c r="D27" s="26" t="n">
        <v>214</v>
      </c>
      <c r="E27" s="26" t="n">
        <v>214</v>
      </c>
      <c r="F27" s="38">
        <f>D27-E27</f>
        <v/>
      </c>
      <c r="G27" s="29">
        <f>IF(F27=0,"Paid in Full",IF(E27&gt;0,"Partial Payment","Unpaid"))</f>
        <v/>
      </c>
      <c r="H27" s="24" t="inlineStr">
        <is>
          <t>Paid in full on weekend cutoff</t>
        </is>
      </c>
    </row>
    <row r="28" ht="22" customHeight="1">
      <c r="A28" s="30" t="inlineStr">
        <is>
          <t>Customer Bravo</t>
        </is>
      </c>
      <c r="B28" s="30" t="inlineStr">
        <is>
          <t>2026-10-12</t>
        </is>
      </c>
      <c r="C28" s="31" t="inlineStr">
        <is>
          <t>Corned Beef, Cooking Oil, Sugar</t>
        </is>
      </c>
      <c r="D28" s="33" t="n">
        <v>165</v>
      </c>
      <c r="E28" s="33" t="n">
        <v>100</v>
      </c>
      <c r="F28" s="39">
        <f>D28-E28</f>
        <v/>
      </c>
      <c r="G28" s="40">
        <f>IF(F28=0,"Paid in Full",IF(E28&gt;0,"Partial Payment","Unpaid"))</f>
        <v/>
      </c>
      <c r="H28" s="31" t="inlineStr">
        <is>
          <t>Partial payment received; balance due Friday</t>
        </is>
      </c>
    </row>
    <row r="29" ht="22" customHeight="1">
      <c r="A29" s="23" t="inlineStr">
        <is>
          <t>Customer Charlie</t>
        </is>
      </c>
      <c r="B29" s="23" t="inlineStr">
        <is>
          <t>2026-10-13</t>
        </is>
      </c>
      <c r="C29" s="24" t="inlineStr">
        <is>
          <t>Instant Noodles (4 pcs), Detergent</t>
        </is>
      </c>
      <c r="D29" s="26" t="n">
        <v>78</v>
      </c>
      <c r="E29" s="26" t="n">
        <v>0</v>
      </c>
      <c r="F29" s="41">
        <f>D29-E29</f>
        <v/>
      </c>
      <c r="G29" s="36">
        <f>IF(F29=0,"Paid in Full",IF(E29&gt;0,"Partial Payment","Unpaid"))</f>
        <v/>
      </c>
      <c r="H29" s="24" t="inlineStr">
        <is>
          <t>Follow up on payday cutoff (15th)</t>
        </is>
      </c>
    </row>
    <row r="30" ht="22" customHeight="1">
      <c r="A30" s="30" t="inlineStr">
        <is>
          <t>Customer Delta</t>
        </is>
      </c>
      <c r="B30" s="30" t="inlineStr">
        <is>
          <t>2026-10-14</t>
        </is>
      </c>
      <c r="C30" s="31" t="inlineStr">
        <is>
          <t>Rice (5kg), Evap Milk, Sugar</t>
        </is>
      </c>
      <c r="D30" s="33" t="n">
        <v>407</v>
      </c>
      <c r="E30" s="33" t="n">
        <v>200</v>
      </c>
      <c r="F30" s="39">
        <f>D30-E30</f>
        <v/>
      </c>
      <c r="G30" s="40">
        <f>IF(F30=0,"Paid in Full",IF(E30&gt;0,"Partial Payment","Unpaid"))</f>
        <v/>
      </c>
      <c r="H30" s="31" t="inlineStr">
        <is>
          <t>Regular neighborhood customer; promised bi-weekly settlement</t>
        </is>
      </c>
    </row>
    <row r="31" ht="22" customHeight="1">
      <c r="A31" s="23" t="inlineStr">
        <is>
          <t>Customer Echo</t>
        </is>
      </c>
      <c r="B31" s="23" t="inlineStr">
        <is>
          <t>2026-10-15</t>
        </is>
      </c>
      <c r="C31" s="24" t="inlineStr">
        <is>
          <t>Coffee Twin Pack (5), Bath Soap (2)</t>
        </is>
      </c>
      <c r="D31" s="26" t="n">
        <v>151</v>
      </c>
      <c r="E31" s="26" t="n">
        <v>151</v>
      </c>
      <c r="F31" s="38">
        <f>D31-E31</f>
        <v/>
      </c>
      <c r="G31" s="29">
        <f>IF(F31=0,"Paid in Full",IF(E31&gt;0,"Partial Payment","Unpaid"))</f>
        <v/>
      </c>
      <c r="H31" s="24" t="inlineStr">
        <is>
          <t>Settled via cash handover</t>
        </is>
      </c>
    </row>
    <row r="32" ht="22" customHeight="1">
      <c r="A32" s="30" t="inlineStr">
        <is>
          <t>Customer Foxtrot</t>
        </is>
      </c>
      <c r="B32" s="30" t="inlineStr">
        <is>
          <t>2026-10-16</t>
        </is>
      </c>
      <c r="C32" s="31" t="inlineStr">
        <is>
          <t>Cooking Oil, Rice (3kg), Noodles</t>
        </is>
      </c>
      <c r="D32" s="33" t="n">
        <v>236</v>
      </c>
      <c r="E32" s="33" t="n">
        <v>0</v>
      </c>
      <c r="F32" s="39">
        <f>D32-E32</f>
        <v/>
      </c>
      <c r="G32" s="36">
        <f>IF(F32=0,"Paid in Full",IF(E32&gt;0,"Partial Payment","Unpaid"))</f>
        <v/>
      </c>
      <c r="H32" s="31" t="inlineStr">
        <is>
          <t>Active credit line; due next Monday</t>
        </is>
      </c>
    </row>
    <row r="33"/>
    <row r="34" ht="24" customHeight="1">
      <c r="A34" s="42" t="inlineStr">
        <is>
          <t>Operational Note:</t>
        </is>
      </c>
      <c r="B34" s="43" t="inlineStr">
        <is>
          <t>Sanitized family micro-retail bookkeeping ledger. Restock threshold alerts dynamically trigger at &lt;= 5 units. Outstanding balances automatically balance cash handovers vs credit receivables.</t>
        </is>
      </c>
    </row>
  </sheetData>
  <mergeCells count="14">
    <mergeCell ref="A4:B4"/>
    <mergeCell ref="F6:H6"/>
    <mergeCell ref="F5:H5"/>
    <mergeCell ref="C5:E5"/>
    <mergeCell ref="I5:L5"/>
    <mergeCell ref="A25:L25"/>
    <mergeCell ref="A5:B5"/>
    <mergeCell ref="I4:L4"/>
    <mergeCell ref="C4:E4"/>
    <mergeCell ref="I6:L6"/>
    <mergeCell ref="F4:H4"/>
    <mergeCell ref="A9:L9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2026-10-16T10:53:57Z</dcterms:created>
  <dcterms:modified xsi:type="dcterms:W3CDTF">2026-10-16T10:53:57Z</dcterms:modified>
</cp:coreProperties>
</file>